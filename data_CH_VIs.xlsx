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IntelCore\Desktop\"/>
    </mc:Choice>
  </mc:AlternateContent>
  <xr:revisionPtr revIDLastSave="0" documentId="13_ncr:1_{D008D839-DBC9-44DE-B047-108ECBFED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inting S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90" i="1" l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<sst xmlns="http://schemas.openxmlformats.org/spreadsheetml/2006/main" count="58" uniqueCount="58">
  <si>
    <t>CH</t>
  </si>
  <si>
    <t>blue</t>
  </si>
  <si>
    <t>green</t>
  </si>
  <si>
    <t>red</t>
  </si>
  <si>
    <t>rededge</t>
  </si>
  <si>
    <t>nir</t>
  </si>
  <si>
    <t>GRVI</t>
  </si>
  <si>
    <t>GDVI</t>
  </si>
  <si>
    <t>GNDVI</t>
  </si>
  <si>
    <t>GWDRVI</t>
  </si>
  <si>
    <t>CIg</t>
  </si>
  <si>
    <t>MSR_G</t>
  </si>
  <si>
    <t>GSAVI</t>
  </si>
  <si>
    <t>MGSAVI</t>
  </si>
  <si>
    <t>GOSAVI</t>
  </si>
  <si>
    <t>GRDVI</t>
  </si>
  <si>
    <t>NDVI</t>
  </si>
  <si>
    <t>RVI</t>
  </si>
  <si>
    <t>OSAVI</t>
  </si>
  <si>
    <t>WDRVI</t>
  </si>
  <si>
    <t>SAVI</t>
  </si>
  <si>
    <t>MSAVI</t>
  </si>
  <si>
    <t>DVI</t>
  </si>
  <si>
    <t>RDVI</t>
  </si>
  <si>
    <t>TNDVI</t>
  </si>
  <si>
    <t>MSR</t>
  </si>
  <si>
    <t>VIopt</t>
  </si>
  <si>
    <t>MERIS</t>
  </si>
  <si>
    <t>RERVI</t>
  </si>
  <si>
    <t>REDVI</t>
  </si>
  <si>
    <t>NDRE</t>
  </si>
  <si>
    <t>RERDVI</t>
  </si>
  <si>
    <t>REWDRVI</t>
  </si>
  <si>
    <t>VIopt1</t>
  </si>
  <si>
    <t>CIre</t>
  </si>
  <si>
    <t>MSR_RE</t>
  </si>
  <si>
    <t>RESAVI</t>
  </si>
  <si>
    <t>REOSAVI</t>
  </si>
  <si>
    <t>SR</t>
  </si>
  <si>
    <t>RDVI1</t>
  </si>
  <si>
    <t>RENDVI</t>
  </si>
  <si>
    <t>REGRVI</t>
  </si>
  <si>
    <t>REGDVI</t>
  </si>
  <si>
    <t>REGNDVI</t>
  </si>
  <si>
    <t>MTCI</t>
  </si>
  <si>
    <t>NGI</t>
  </si>
  <si>
    <t>NREI</t>
  </si>
  <si>
    <t>NRI</t>
  </si>
  <si>
    <t>NNIR</t>
  </si>
  <si>
    <t>MDD</t>
  </si>
  <si>
    <t>MNDI</t>
  </si>
  <si>
    <t>MEVI</t>
  </si>
  <si>
    <t>MNDRE</t>
  </si>
  <si>
    <t>MCARI1</t>
  </si>
  <si>
    <t>MCARI2</t>
  </si>
  <si>
    <t>MTCARI</t>
  </si>
  <si>
    <t>MRETVI</t>
  </si>
  <si>
    <t>MCCCI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</si>
</sst>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indexed="8"/>
      <name val="宋体"/>
      <charset val="134"/>
    </font>
    <font>
      <sz val="7.5"/>
      <color rgb="FF000000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0"/>
  <sheetViews>
    <sheetView tabSelected="1" workbookViewId="0">
      <selection activeCell="E8" sqref="E8"/>
    </sheetView>
  </sheetViews>
  <sheetFormatPr defaultColWidth="16.625" defaultRowHeight="13.5" x14ac:dyDescent="0.15"/>
  <cols>
    <col min="1" max="1" width="9.625"/>
    <col min="2" max="3" width="16.625" style="1"/>
    <col min="4" max="5" width="16.625" style="2"/>
    <col min="6" max="16" width="16.625" style="1"/>
    <col min="17" max="17" width="16.625" style="2"/>
    <col min="18" max="18" width="16.625" style="1"/>
    <col min="19" max="19" width="16.625" style="2"/>
    <col min="20" max="21" width="16.625" style="1"/>
    <col min="22" max="23" width="16.625" style="2"/>
    <col min="24" max="24" width="16.625" style="1"/>
    <col min="25" max="25" width="16.625" style="2"/>
    <col min="26" max="28" width="16.625" style="1"/>
    <col min="29" max="30" width="16.625" style="2"/>
    <col min="31" max="31" width="16.625" style="1"/>
    <col min="32" max="33" width="16.625" style="2"/>
    <col min="34" max="36" width="16.625" style="1"/>
    <col min="37" max="38" width="16.625" style="2"/>
    <col min="39" max="46" width="16.625" style="1"/>
    <col min="47" max="50" width="16.625" style="2"/>
    <col min="51" max="51" width="16.625" style="1"/>
    <col min="52" max="52" width="16.625" style="2"/>
    <col min="53" max="53" width="16.625" style="1"/>
    <col min="54" max="54" width="16.625" style="2"/>
    <col min="55" max="56" width="16.625" style="1"/>
    <col min="57" max="57" width="16.625" style="2"/>
    <col min="58" max="16384" width="16.625" style="1"/>
  </cols>
  <sheetData>
    <row r="1" spans="1:5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s="2" customFormat="1" x14ac:dyDescent="0.15">
      <c r="A2" s="3">
        <v>195.5</v>
      </c>
      <c r="B2" s="4">
        <v>4.8733327455200003E-2</v>
      </c>
      <c r="C2" s="4">
        <v>8.2914062192200003E-2</v>
      </c>
      <c r="D2" s="4">
        <v>7.8842755783399998E-2</v>
      </c>
      <c r="E2" s="4">
        <v>0.20361871856700001</v>
      </c>
      <c r="F2" s="4">
        <v>0.31619833754499999</v>
      </c>
      <c r="G2" s="2">
        <f>F2/C2</f>
        <v>3.81356707396669</v>
      </c>
      <c r="H2" s="2">
        <f>F2-C2</f>
        <v>0.2332842753528</v>
      </c>
      <c r="I2" s="2">
        <f>(F2-C2)/(F2+C2)</f>
        <v>0.58450771137756796</v>
      </c>
      <c r="J2" s="2">
        <f>(0.12*F2-C2)/(0.12*F2+C2)</f>
        <v>-0.37209214761079001</v>
      </c>
      <c r="K2" s="2">
        <f>F2/C2-1</f>
        <v>2.81356707396669</v>
      </c>
      <c r="L2" s="2">
        <f>(F2/C2-1)/POWER(F2/C2+1,0.5)</f>
        <v>1.2824007373717301</v>
      </c>
      <c r="M2" s="2">
        <f>1.5*(F2-C2)/(F2+C2+0.5)</f>
        <v>0.38919095446962998</v>
      </c>
      <c r="N2" s="2">
        <f>0.5*(2*F2+1-POWER(POWER(2*F2+1,2)-8*(F2-C2),0.5))</f>
        <v>0.36941967253779301</v>
      </c>
      <c r="O2" s="2">
        <f>1.16*(F2-C2)/(F2+C2+0.16)</f>
        <v>0.48399885163778</v>
      </c>
      <c r="P2" s="2">
        <f>(F2-C2)/POWER(F2+C2,0.5)</f>
        <v>0.36926475310654799</v>
      </c>
      <c r="Q2" s="2">
        <f>(F2-D2)/(F2+D2)</f>
        <v>0.60083769959669697</v>
      </c>
      <c r="R2" s="2">
        <f>F2/D2</f>
        <v>4.0104932203749</v>
      </c>
      <c r="S2" s="2">
        <f>1.16*(F2-D2)/(F2+D2+0.16)</f>
        <v>0.49605782013792399</v>
      </c>
      <c r="T2" s="2">
        <f>(0.12*F2-D2)/(0.12*F2+D2)</f>
        <v>-0.35020259675147403</v>
      </c>
      <c r="U2" s="2">
        <f>1.5*(F2-D2)/(F2+D2+0.5)</f>
        <v>0.39778438699212598</v>
      </c>
      <c r="V2" s="2">
        <f>(2*F2+1-POWER(POWER(2*F2+1,2)-8*(F2-D2),0.5))/2</f>
        <v>0.37862712883946598</v>
      </c>
      <c r="W2" s="2">
        <f>F2-D2</f>
        <v>0.23735558176159999</v>
      </c>
      <c r="X2" s="2">
        <f>(F2-D2)/POWER(F2+D2,0.5)</f>
        <v>0.37764028086536999</v>
      </c>
      <c r="Y2" s="2">
        <f>POWER((F2-D2)/(F2+D2)+0.5,0.5)</f>
        <v>1.0492081297801199</v>
      </c>
      <c r="Z2" s="2">
        <f>(F2/D2-1)/(POWER(F2/D2,0.5)+1)</f>
        <v>1.0026215869142401</v>
      </c>
      <c r="AA2" s="2">
        <f>((1+0.45)*(POWER(F2,2)+1)/(D2+0.45))</f>
        <v>3.0159683499934</v>
      </c>
      <c r="AB2" s="2">
        <f>(D2+F2)/2</f>
        <v>0.19752054666419999</v>
      </c>
      <c r="AC2" s="2">
        <f>F2/E2</f>
        <v>1.5528942514239199</v>
      </c>
      <c r="AD2" s="2">
        <f>F2-E2</f>
        <v>0.11257961897800001</v>
      </c>
      <c r="AE2" s="2">
        <f>(F2-E2)/(F2+E2)</f>
        <v>0.21657546179812801</v>
      </c>
      <c r="AF2" s="2">
        <f>(F2-E2)/POWER(F2+E2,0.5)</f>
        <v>0.15614731175789601</v>
      </c>
      <c r="AG2" s="5">
        <f>1.5*(F2-E2)/(F2+E2+0.5)</f>
        <v>0.16558796252222499</v>
      </c>
      <c r="AH2" s="2">
        <f>100*(LN(F2)-LN(E2))</f>
        <v>44.0120448753405</v>
      </c>
      <c r="AI2" s="2">
        <f>F2/E2-1</f>
        <v>0.55289425142392301</v>
      </c>
      <c r="AJ2" s="2">
        <f>(F2/E2-1)/POWER(F2/E2+1,0.5)</f>
        <v>0.34603948882702201</v>
      </c>
      <c r="AK2" s="2">
        <f>1.5*(F2-E2)/(F2+D2+0.5)</f>
        <v>0.18867226290026901</v>
      </c>
      <c r="AL2" s="2">
        <f>1.16*(F2-E2)/(F2+E2+0.16)</f>
        <v>0.19209926676650599</v>
      </c>
      <c r="AM2" s="2">
        <f>F2/D2</f>
        <v>4.0104932203749</v>
      </c>
      <c r="AN2" s="2">
        <f>E2-D2</f>
        <v>0.12477596278359999</v>
      </c>
      <c r="AO2" s="2">
        <f>(E2-D2)/(E2+D2)</f>
        <v>0.44174506654600398</v>
      </c>
      <c r="AP2" s="2">
        <f>E2/D2</f>
        <v>2.5825926116330802</v>
      </c>
      <c r="AQ2" s="2">
        <f>E2-C2</f>
        <v>0.1207046563748</v>
      </c>
      <c r="AR2" s="2">
        <f>(E2-C2)/(E2+C2)</f>
        <v>0.42125950146080898</v>
      </c>
      <c r="AS2" s="2">
        <f>(F2-E2)/(E2-D2)</f>
        <v>0.90225405972821704</v>
      </c>
      <c r="AT2" s="2">
        <f>C2/(F2+E2+C2)</f>
        <v>0.13756393136873499</v>
      </c>
      <c r="AU2" s="2">
        <f>E2/(F2+E2+C2)</f>
        <v>0.337826789398043</v>
      </c>
      <c r="AV2" s="2">
        <f>D2/(F2+E2+D2)</f>
        <v>0.13169876149491</v>
      </c>
      <c r="AW2" s="2">
        <f>F2/(F2+E2+D2)</f>
        <v>0.52817699010710795</v>
      </c>
      <c r="AX2" s="2">
        <f>F2-2*E2+C2</f>
        <v>-8.1250373968000198E-3</v>
      </c>
      <c r="AY2" s="5">
        <f>(F2-D2)/(F2-C2)</f>
        <v>1.0174521253206801</v>
      </c>
      <c r="AZ2" s="2">
        <f>2.5*(F2-E2)/(F2+6*E2-7.5*C2+1)</f>
        <v>0.14688984430864199</v>
      </c>
      <c r="BA2" s="2">
        <f>(F2-(E2-2*C2))/(F2+(E2-2*C2))</f>
        <v>0.78648714241901496</v>
      </c>
      <c r="BB2" s="2">
        <f>(F2-E2-0.2*(F2-C2))*F2/E2</f>
        <v>0.10237108110984</v>
      </c>
      <c r="BC2" s="2">
        <f>1.5*(2.5*F2-E2)-1.3*(F2-E2)/POWER(POWER((2*F2+1),2)-(6*F2-5*POWER(E2,0.5))-0.5,0.5)</f>
        <v>0.78818990006024803</v>
      </c>
      <c r="BD2" s="2">
        <f>3*(F2-E2-0.2*(F2-D2)*F2/E2)</f>
        <v>0.116585985857418</v>
      </c>
      <c r="BE2" s="2">
        <f>1.2*(1.2*(F2-C2)-2.5*(E2-C2))</f>
        <v>-2.6184612616368001E-2</v>
      </c>
      <c r="BF2" s="2">
        <f>(F2-E2)/(F2+E2)/((F2-C2)/(F2+C2))</f>
        <v>0.37052626951268602</v>
      </c>
    </row>
    <row r="3" spans="1:58" s="2" customFormat="1" x14ac:dyDescent="0.15">
      <c r="A3" s="3">
        <v>202.5</v>
      </c>
      <c r="B3" s="4">
        <v>4.2142920479999998E-2</v>
      </c>
      <c r="C3" s="4">
        <v>7.07380001851E-2</v>
      </c>
      <c r="D3" s="4">
        <v>6.70029675662E-2</v>
      </c>
      <c r="E3" s="4">
        <v>0.185532040733</v>
      </c>
      <c r="F3" s="4">
        <v>0.31484535468300001</v>
      </c>
      <c r="G3" s="2">
        <f t="shared" ref="G3:G66" si="0">F3/C3</f>
        <v>4.4508659257986496</v>
      </c>
      <c r="H3" s="2">
        <f t="shared" ref="H3:H66" si="1">F3-C3</f>
        <v>0.2441073544979</v>
      </c>
      <c r="I3" s="2">
        <f t="shared" ref="I3:I66" si="2">(F3-C3)/(F3+C3)</f>
        <v>0.63308582026681104</v>
      </c>
      <c r="J3" s="2">
        <f t="shared" ref="J3:J66" si="3">(0.12*F3-C3)/(0.12*F3+C3)</f>
        <v>-0.30369265441176302</v>
      </c>
      <c r="K3" s="2">
        <f t="shared" ref="K3:K66" si="4">F3/C3-1</f>
        <v>3.45086592579865</v>
      </c>
      <c r="L3" s="2">
        <f t="shared" ref="L3:L66" si="5">(F3/C3-1)/POWER(F3/C3+1,0.5)</f>
        <v>1.47807113674039</v>
      </c>
      <c r="M3" s="2">
        <f t="shared" ref="M3:M66" si="6">1.5*(F3-C3)/(F3+C3+0.5)</f>
        <v>0.41346873756608299</v>
      </c>
      <c r="N3" s="2">
        <f t="shared" ref="N3:N66" si="7">0.5*(2*F3+1-POWER(POWER(2*F3+1,2)-8*(F3-C3),0.5))</f>
        <v>0.39561004718533199</v>
      </c>
      <c r="O3" s="2">
        <f t="shared" ref="O3:O66" si="8">1.16*(F3-C3)/(F3+C3+0.16)</f>
        <v>0.519012408811522</v>
      </c>
      <c r="P3" s="2">
        <f t="shared" ref="P3:P66" si="9">(F3-C3)/POWER(F3+C3,0.5)</f>
        <v>0.39311690978062003</v>
      </c>
      <c r="Q3" s="2">
        <f t="shared" ref="Q3:Q66" si="10">(F3-D3)/(F3+D3)</f>
        <v>0.64905977760209799</v>
      </c>
      <c r="R3" s="2">
        <f t="shared" ref="R3:R66" si="11">F3/D3</f>
        <v>4.6989762710424401</v>
      </c>
      <c r="S3" s="2">
        <f t="shared" ref="S3:S66" si="12">1.16*(F3-D3)/(F3+D3+0.16)</f>
        <v>0.53058606486422999</v>
      </c>
      <c r="T3" s="2">
        <f t="shared" ref="T3:T66" si="13">(0.12*F3-D3)/(0.12*F3+D3)</f>
        <v>-0.27887283011375102</v>
      </c>
      <c r="U3" s="2">
        <f t="shared" ref="U3:U66" si="14">1.5*(F3-D3)/(F3+D3+0.5)</f>
        <v>0.42157315639836801</v>
      </c>
      <c r="V3" s="2">
        <f t="shared" ref="V3:V66" si="15">(2*F3+1-POWER(POWER(2*F3+1,2)-8*(F3-D3),0.5))/2</f>
        <v>0.40461593373069399</v>
      </c>
      <c r="W3" s="2">
        <f t="shared" ref="W3:W66" si="16">F3-D3</f>
        <v>0.24784238711680001</v>
      </c>
      <c r="X3" s="2">
        <f t="shared" ref="X3:X66" si="17">(F3-D3)/POWER(F3+D3,0.5)</f>
        <v>0.40107919998723901</v>
      </c>
      <c r="Y3" s="2">
        <f t="shared" ref="Y3:Y66" si="18">POWER((F3-D3)/(F3+D3)+0.5,0.5)</f>
        <v>1.0719420588828901</v>
      </c>
      <c r="Z3" s="2">
        <f t="shared" ref="Z3:Z66" si="19">(F3/D3-1)/(POWER(F3/D3,0.5)+1)</f>
        <v>1.1677122205316901</v>
      </c>
      <c r="AA3" s="2">
        <f t="shared" ref="AA3:AA66" si="20">((1+0.45)*(POWER(F3,2)+1)/(D3+0.45))</f>
        <v>3.0826419114815899</v>
      </c>
      <c r="AB3" s="2">
        <f t="shared" ref="AB3:AB66" si="21">(D3+F3)/2</f>
        <v>0.19092416112460001</v>
      </c>
      <c r="AC3" s="2">
        <f t="shared" ref="AC3:AC66" si="22">F3/E3</f>
        <v>1.6969864258438001</v>
      </c>
      <c r="AD3" s="2">
        <f t="shared" ref="AD3:AD66" si="23">F3-E3</f>
        <v>0.12931331395000001</v>
      </c>
      <c r="AE3" s="2">
        <f t="shared" ref="AE3:AE66" si="24">(F3-E3)/(F3+E3)</f>
        <v>0.25843156612319101</v>
      </c>
      <c r="AF3" s="2">
        <f t="shared" ref="AF3:AF66" si="25">(F3-E3)/POWER(F3+E3,0.5)</f>
        <v>0.18280766462235201</v>
      </c>
      <c r="AG3" s="5">
        <f t="shared" ref="AG3:AG66" si="26">1.5*(F3-E3)/(F3+E3+0.5)</f>
        <v>0.193896795163328</v>
      </c>
      <c r="AH3" s="2">
        <f t="shared" ref="AH3:AH66" si="27">100*(LN(F3)-LN(E3))</f>
        <v>52.885398730660299</v>
      </c>
      <c r="AI3" s="2">
        <f t="shared" ref="AI3:AI66" si="28">F3/E3-1</f>
        <v>0.69698642584379999</v>
      </c>
      <c r="AJ3" s="2">
        <f t="shared" ref="AJ3:AJ66" si="29">(F3/E3-1)/POWER(F3/E3+1,0.5)</f>
        <v>0.424409346736636</v>
      </c>
      <c r="AK3" s="2">
        <f t="shared" ref="AK3:AK66" si="30">1.5*(F3-E3)/(F3+D3+0.5)</f>
        <v>0.21995842825926101</v>
      </c>
      <c r="AL3" s="2">
        <f t="shared" ref="AL3:AL66" si="31">1.16*(F3-E3)/(F3+E3+0.16)</f>
        <v>0.22714805991732401</v>
      </c>
      <c r="AM3" s="2">
        <f t="shared" ref="AM3:AM66" si="32">F3/D3</f>
        <v>4.6989762710424401</v>
      </c>
      <c r="AN3" s="2">
        <f t="shared" ref="AN3:AN66" si="33">E3-D3</f>
        <v>0.1185290731668</v>
      </c>
      <c r="AO3" s="2">
        <f t="shared" ref="AO3:AO66" si="34">(E3-D3)/(E3+D3)</f>
        <v>0.46935699713509998</v>
      </c>
      <c r="AP3" s="2">
        <f t="shared" ref="AP3:AP66" si="35">E3/D3</f>
        <v>2.7690122911301098</v>
      </c>
      <c r="AQ3" s="2">
        <f t="shared" ref="AQ3:AQ66" si="36">E3-C3</f>
        <v>0.1147940405479</v>
      </c>
      <c r="AR3" s="2">
        <f t="shared" ref="AR3:AR66" si="37">(E3-C3)/(E3+C3)</f>
        <v>0.447941710769799</v>
      </c>
      <c r="AS3" s="2">
        <f t="shared" ref="AS3:AS66" si="38">(F3-E3)/(E3-D3)</f>
        <v>1.0909839290485599</v>
      </c>
      <c r="AT3" s="2">
        <f t="shared" ref="AT3:AT66" si="39">C3/(F3+E3+C3)</f>
        <v>0.123859382411935</v>
      </c>
      <c r="AU3" s="2">
        <f t="shared" ref="AU3:AU66" si="40">E3/(F3+E3+C3)</f>
        <v>0.32485911282032098</v>
      </c>
      <c r="AV3" s="2">
        <f t="shared" ref="AV3:AV66" si="41">D3/(F3+E3+D3)</f>
        <v>0.118091798619936</v>
      </c>
      <c r="AW3" s="2">
        <f t="shared" ref="AW3:AW66" si="42">F3/(F3+E3+D3)</f>
        <v>0.55491055951979995</v>
      </c>
      <c r="AX3" s="2">
        <f t="shared" ref="AX3:AX66" si="43">F3-2*E3+C3</f>
        <v>1.45192734021E-2</v>
      </c>
      <c r="AY3" s="5">
        <f t="shared" ref="AY3:AY66" si="44">(F3-D3)/(F3-C3)</f>
        <v>1.0153007787355799</v>
      </c>
      <c r="AZ3" s="2">
        <f t="shared" ref="AZ3:AZ66" si="45">2.5*(F3-E3)/(F3+6*E3-7.5*C3+1)</f>
        <v>0.17037303941933599</v>
      </c>
      <c r="BA3" s="2">
        <f t="shared" ref="BA3:BA66" si="46">(F3-(E3-2*C3))/(F3+(E3-2*C3))</f>
        <v>0.75449501745638003</v>
      </c>
      <c r="BB3" s="2">
        <f t="shared" ref="BB3:BB66" si="47">(F3-E3-0.2*(F3-C3))*F3/E3</f>
        <v>0.136593565047712</v>
      </c>
      <c r="BC3" s="2">
        <f t="shared" ref="BC3:BC66" si="48">1.5*(2.5*F3-E3)-1.3*(F3-E3)/POWER(POWER((2*F3+1),2)-(6*F3-5*POWER(E3,0.5))-0.5,0.5)</f>
        <v>0.79431951390966105</v>
      </c>
      <c r="BD3" s="2">
        <f t="shared" ref="BD3:BD66" si="49">3*(F3-E3-0.2*(F3-D3)*F3/E3)</f>
        <v>0.13558884183844</v>
      </c>
      <c r="BE3" s="2">
        <f t="shared" ref="BE3:BE66" si="50">1.2*(1.2*(F3-C3)-2.5*(E3-C3))</f>
        <v>7.1324688332759598E-3</v>
      </c>
      <c r="BF3" s="2">
        <f t="shared" ref="BF3:BF66" si="51">(F3-E3)/(F3+E3)/((F3-C3)/(F3+C3))</f>
        <v>0.40820937359531501</v>
      </c>
    </row>
    <row r="4" spans="1:58" s="2" customFormat="1" x14ac:dyDescent="0.15">
      <c r="A4" s="3">
        <v>201.5</v>
      </c>
      <c r="B4" s="4">
        <v>7.6901838292499997E-2</v>
      </c>
      <c r="C4" s="4">
        <v>0.127548527439</v>
      </c>
      <c r="D4" s="4">
        <v>0.14160967505499999</v>
      </c>
      <c r="E4" s="4">
        <v>0.25263358427999999</v>
      </c>
      <c r="F4" s="4">
        <v>0.34455071469699999</v>
      </c>
      <c r="G4" s="2">
        <f t="shared" si="0"/>
        <v>2.7013304003982399</v>
      </c>
      <c r="H4" s="2">
        <f t="shared" si="1"/>
        <v>0.217002187258</v>
      </c>
      <c r="I4" s="2">
        <f t="shared" si="2"/>
        <v>0.45965375050419399</v>
      </c>
      <c r="J4" s="2">
        <f t="shared" si="3"/>
        <v>-0.51039189492641901</v>
      </c>
      <c r="K4" s="2">
        <f t="shared" si="4"/>
        <v>1.7013304003982399</v>
      </c>
      <c r="L4" s="2">
        <f t="shared" si="5"/>
        <v>0.88432058632028598</v>
      </c>
      <c r="M4" s="2">
        <f t="shared" si="6"/>
        <v>0.33484573053649302</v>
      </c>
      <c r="N4" s="2">
        <f t="shared" si="7"/>
        <v>0.31609869683803299</v>
      </c>
      <c r="O4" s="2">
        <f t="shared" si="8"/>
        <v>0.39823261987889003</v>
      </c>
      <c r="P4" s="2">
        <f t="shared" si="9"/>
        <v>0.31582569439605901</v>
      </c>
      <c r="Q4" s="2">
        <f t="shared" si="10"/>
        <v>0.41743639325598703</v>
      </c>
      <c r="R4" s="2">
        <f t="shared" si="11"/>
        <v>2.4331015134607101</v>
      </c>
      <c r="S4" s="2">
        <f t="shared" si="12"/>
        <v>0.36432379594650199</v>
      </c>
      <c r="T4" s="2">
        <f t="shared" si="13"/>
        <v>-0.54802094693672498</v>
      </c>
      <c r="U4" s="2">
        <f t="shared" si="14"/>
        <v>0.308683620460109</v>
      </c>
      <c r="V4" s="2">
        <f t="shared" si="15"/>
        <v>0.290128645862061</v>
      </c>
      <c r="W4" s="2">
        <f t="shared" si="16"/>
        <v>0.202941039642</v>
      </c>
      <c r="X4" s="2">
        <f t="shared" si="17"/>
        <v>0.29105837151983199</v>
      </c>
      <c r="Y4" s="2">
        <f t="shared" si="18"/>
        <v>0.95782900000782401</v>
      </c>
      <c r="Z4" s="2">
        <f t="shared" si="19"/>
        <v>0.55984022049077597</v>
      </c>
      <c r="AA4" s="2">
        <f t="shared" si="20"/>
        <v>2.7419041661152801</v>
      </c>
      <c r="AB4" s="2">
        <f t="shared" si="21"/>
        <v>0.24308019487599999</v>
      </c>
      <c r="AC4" s="2">
        <f t="shared" si="22"/>
        <v>1.36383575318761</v>
      </c>
      <c r="AD4" s="2">
        <f t="shared" si="23"/>
        <v>9.1917130417000004E-2</v>
      </c>
      <c r="AE4" s="2">
        <f t="shared" si="24"/>
        <v>0.15391752692503399</v>
      </c>
      <c r="AF4" s="2">
        <f t="shared" si="25"/>
        <v>0.118943925426356</v>
      </c>
      <c r="AG4" s="5">
        <f t="shared" si="26"/>
        <v>0.12566320512793799</v>
      </c>
      <c r="AH4" s="2">
        <f t="shared" si="27"/>
        <v>31.030113661913202</v>
      </c>
      <c r="AI4" s="2">
        <f t="shared" si="28"/>
        <v>0.36383575318761302</v>
      </c>
      <c r="AJ4" s="2">
        <f t="shared" si="29"/>
        <v>0.23664466893962399</v>
      </c>
      <c r="AK4" s="2">
        <f t="shared" si="30"/>
        <v>0.13981062011644299</v>
      </c>
      <c r="AL4" s="2">
        <f t="shared" si="31"/>
        <v>0.14081627343273601</v>
      </c>
      <c r="AM4" s="2">
        <f t="shared" si="32"/>
        <v>2.4331015134607101</v>
      </c>
      <c r="AN4" s="2">
        <f t="shared" si="33"/>
        <v>0.11102390922499999</v>
      </c>
      <c r="AO4" s="2">
        <f t="shared" si="34"/>
        <v>0.281612701285679</v>
      </c>
      <c r="AP4" s="2">
        <f t="shared" si="35"/>
        <v>1.7840135865143301</v>
      </c>
      <c r="AQ4" s="2">
        <f t="shared" si="36"/>
        <v>0.12508505684099999</v>
      </c>
      <c r="AR4" s="2">
        <f t="shared" si="37"/>
        <v>0.32901352532191902</v>
      </c>
      <c r="AS4" s="2">
        <f t="shared" si="38"/>
        <v>0.82790392680842895</v>
      </c>
      <c r="AT4" s="2">
        <f t="shared" si="39"/>
        <v>0.17599385979211399</v>
      </c>
      <c r="AU4" s="2">
        <f t="shared" si="40"/>
        <v>0.34858857646802299</v>
      </c>
      <c r="AV4" s="2">
        <f t="shared" si="41"/>
        <v>0.19167681387838001</v>
      </c>
      <c r="AW4" s="2">
        <f t="shared" si="42"/>
        <v>0.46636914594281198</v>
      </c>
      <c r="AX4" s="2">
        <f t="shared" si="43"/>
        <v>-3.3167926424000002E-2</v>
      </c>
      <c r="AY4" s="5">
        <f t="shared" si="44"/>
        <v>0.93520273784483898</v>
      </c>
      <c r="AZ4" s="2">
        <f t="shared" si="45"/>
        <v>0.12070610247079</v>
      </c>
      <c r="BA4" s="2">
        <f t="shared" si="46"/>
        <v>1.0144025867113999</v>
      </c>
      <c r="BB4" s="2">
        <f t="shared" si="47"/>
        <v>6.6168800492638499E-2</v>
      </c>
      <c r="BC4" s="2">
        <f t="shared" si="48"/>
        <v>0.84169039077156205</v>
      </c>
      <c r="BD4" s="2">
        <f t="shared" si="49"/>
        <v>0.10968444385930499</v>
      </c>
      <c r="BE4" s="2">
        <f t="shared" si="50"/>
        <v>-6.2772020871479997E-2</v>
      </c>
      <c r="BF4" s="2">
        <f t="shared" si="51"/>
        <v>0.33485537049616598</v>
      </c>
    </row>
    <row r="5" spans="1:58" s="2" customFormat="1" x14ac:dyDescent="0.15">
      <c r="A5" s="3">
        <v>177.5</v>
      </c>
      <c r="B5" s="4">
        <v>4.8664408619899999E-2</v>
      </c>
      <c r="C5" s="4">
        <v>9.3996545238300006E-2</v>
      </c>
      <c r="D5" s="4">
        <v>8.3183937976800001E-2</v>
      </c>
      <c r="E5" s="4">
        <v>0.22640911530300001</v>
      </c>
      <c r="F5" s="4">
        <v>0.32092187138599998</v>
      </c>
      <c r="G5" s="2">
        <f t="shared" si="0"/>
        <v>3.4141879424653201</v>
      </c>
      <c r="H5" s="2">
        <f t="shared" si="1"/>
        <v>0.2269253261477</v>
      </c>
      <c r="I5" s="2">
        <f t="shared" si="2"/>
        <v>0.54691553099503898</v>
      </c>
      <c r="J5" s="2">
        <f t="shared" si="3"/>
        <v>-0.41873900675558301</v>
      </c>
      <c r="K5" s="2">
        <f t="shared" si="4"/>
        <v>2.4141879424653201</v>
      </c>
      <c r="L5" s="2">
        <f t="shared" si="5"/>
        <v>1.14906783110278</v>
      </c>
      <c r="M5" s="2">
        <f t="shared" si="6"/>
        <v>0.37204190344910898</v>
      </c>
      <c r="N5" s="2">
        <f t="shared" si="7"/>
        <v>0.35181413682549201</v>
      </c>
      <c r="O5" s="2">
        <f t="shared" si="8"/>
        <v>0.45786214307925099</v>
      </c>
      <c r="P5" s="2">
        <f t="shared" si="9"/>
        <v>0.35229105189642801</v>
      </c>
      <c r="Q5" s="2">
        <f t="shared" si="10"/>
        <v>0.58830615126287999</v>
      </c>
      <c r="R5" s="2">
        <f t="shared" si="11"/>
        <v>3.8579788260986798</v>
      </c>
      <c r="S5" s="2">
        <f t="shared" si="12"/>
        <v>0.48887282878044103</v>
      </c>
      <c r="T5" s="2">
        <f t="shared" si="13"/>
        <v>-0.36709375075530498</v>
      </c>
      <c r="U5" s="2">
        <f t="shared" si="14"/>
        <v>0.39443049300295002</v>
      </c>
      <c r="V5" s="2">
        <f t="shared" si="15"/>
        <v>0.37545935657527801</v>
      </c>
      <c r="W5" s="2">
        <f t="shared" si="16"/>
        <v>0.23773793340919999</v>
      </c>
      <c r="X5" s="2">
        <f t="shared" si="17"/>
        <v>0.373982203604874</v>
      </c>
      <c r="Y5" s="2">
        <f t="shared" si="18"/>
        <v>1.0432191290725501</v>
      </c>
      <c r="Z5" s="2">
        <f t="shared" si="19"/>
        <v>0.96417382787233896</v>
      </c>
      <c r="AA5" s="2">
        <f t="shared" si="20"/>
        <v>2.9995966026150902</v>
      </c>
      <c r="AB5" s="2">
        <f t="shared" si="21"/>
        <v>0.2020529046814</v>
      </c>
      <c r="AC5" s="2">
        <f t="shared" si="22"/>
        <v>1.4174423629389401</v>
      </c>
      <c r="AD5" s="2">
        <f t="shared" si="23"/>
        <v>9.4512756082999999E-2</v>
      </c>
      <c r="AE5" s="2">
        <f t="shared" si="24"/>
        <v>0.17267934464069201</v>
      </c>
      <c r="AF5" s="2">
        <f t="shared" si="25"/>
        <v>0.12775132398765199</v>
      </c>
      <c r="AG5" s="5">
        <f t="shared" si="26"/>
        <v>0.13536230277372399</v>
      </c>
      <c r="AH5" s="2">
        <f t="shared" si="27"/>
        <v>34.885409472708503</v>
      </c>
      <c r="AI5" s="2">
        <f t="shared" si="28"/>
        <v>0.41744236293894299</v>
      </c>
      <c r="AJ5" s="2">
        <f t="shared" si="29"/>
        <v>0.26848402868245003</v>
      </c>
      <c r="AK5" s="2">
        <f t="shared" si="30"/>
        <v>0.156805909945891</v>
      </c>
      <c r="AL5" s="2">
        <f t="shared" si="31"/>
        <v>0.15499787103839199</v>
      </c>
      <c r="AM5" s="2">
        <f t="shared" si="32"/>
        <v>3.8579788260986798</v>
      </c>
      <c r="AN5" s="2">
        <f t="shared" si="33"/>
        <v>0.14322517732619999</v>
      </c>
      <c r="AO5" s="2">
        <f t="shared" si="34"/>
        <v>0.46262400208559501</v>
      </c>
      <c r="AP5" s="2">
        <f t="shared" si="35"/>
        <v>2.7217888550328699</v>
      </c>
      <c r="AQ5" s="2">
        <f t="shared" si="36"/>
        <v>0.1324125700647</v>
      </c>
      <c r="AR5" s="2">
        <f t="shared" si="37"/>
        <v>0.41326538938481699</v>
      </c>
      <c r="AS5" s="2">
        <f t="shared" si="38"/>
        <v>0.65988925863044401</v>
      </c>
      <c r="AT5" s="2">
        <f t="shared" si="39"/>
        <v>0.146565585537587</v>
      </c>
      <c r="AU5" s="2">
        <f t="shared" si="40"/>
        <v>0.35303195953961503</v>
      </c>
      <c r="AV5" s="2">
        <f t="shared" si="41"/>
        <v>0.13193016489005599</v>
      </c>
      <c r="AW5" s="2">
        <f t="shared" si="42"/>
        <v>0.50898378266954203</v>
      </c>
      <c r="AX5" s="2">
        <f t="shared" si="43"/>
        <v>-3.7899813981699997E-2</v>
      </c>
      <c r="AY5" s="5">
        <f t="shared" si="44"/>
        <v>1.0476483054802901</v>
      </c>
      <c r="AZ5" s="2">
        <f t="shared" si="45"/>
        <v>0.119672606436099</v>
      </c>
      <c r="BA5" s="2">
        <f t="shared" si="46"/>
        <v>0.78618439507035598</v>
      </c>
      <c r="BB5" s="2">
        <f t="shared" si="47"/>
        <v>6.9635670209062195E-2</v>
      </c>
      <c r="BC5" s="2">
        <f t="shared" si="48"/>
        <v>0.78835622009707496</v>
      </c>
      <c r="BD5" s="2">
        <f t="shared" si="49"/>
        <v>8.1350377393945406E-2</v>
      </c>
      <c r="BE5" s="2">
        <f t="shared" si="50"/>
        <v>-7.0465240541412094E-2</v>
      </c>
      <c r="BF5" s="2">
        <f t="shared" si="51"/>
        <v>0.31573311572725898</v>
      </c>
    </row>
    <row r="6" spans="1:58" s="2" customFormat="1" x14ac:dyDescent="0.15">
      <c r="A6" s="3">
        <v>184</v>
      </c>
      <c r="B6" s="4">
        <v>4.4417672456599999E-2</v>
      </c>
      <c r="C6" s="4">
        <v>8.2389598923599996E-2</v>
      </c>
      <c r="D6" s="4">
        <v>7.2205534292300005E-2</v>
      </c>
      <c r="E6" s="4">
        <v>0.209171359079</v>
      </c>
      <c r="F6" s="4">
        <v>0.31099716357599999</v>
      </c>
      <c r="G6" s="2">
        <f t="shared" si="0"/>
        <v>3.7747138915482301</v>
      </c>
      <c r="H6" s="2">
        <f t="shared" si="1"/>
        <v>0.22860756465240001</v>
      </c>
      <c r="I6" s="2">
        <f t="shared" si="2"/>
        <v>0.58112673441225005</v>
      </c>
      <c r="J6" s="2">
        <f t="shared" si="3"/>
        <v>-0.37649501667100499</v>
      </c>
      <c r="K6" s="2">
        <f t="shared" si="4"/>
        <v>2.7747138915482301</v>
      </c>
      <c r="L6" s="2">
        <f t="shared" si="5"/>
        <v>1.26982692628709</v>
      </c>
      <c r="M6" s="2">
        <f t="shared" si="6"/>
        <v>0.38383302884315301</v>
      </c>
      <c r="N6" s="2">
        <f t="shared" si="7"/>
        <v>0.36322348187561498</v>
      </c>
      <c r="O6" s="2">
        <f t="shared" si="8"/>
        <v>0.47920332210146699</v>
      </c>
      <c r="P6" s="2">
        <f t="shared" si="9"/>
        <v>0.36448589480031501</v>
      </c>
      <c r="Q6" s="2">
        <f t="shared" si="10"/>
        <v>0.62314704622922201</v>
      </c>
      <c r="R6" s="2">
        <f t="shared" si="11"/>
        <v>4.30710978907838</v>
      </c>
      <c r="S6" s="2">
        <f t="shared" si="12"/>
        <v>0.50993540911361701</v>
      </c>
      <c r="T6" s="2">
        <f t="shared" si="13"/>
        <v>-0.31851917731557899</v>
      </c>
      <c r="U6" s="2">
        <f t="shared" si="14"/>
        <v>0.40555519677427598</v>
      </c>
      <c r="V6" s="2">
        <f t="shared" si="15"/>
        <v>0.38657621597690101</v>
      </c>
      <c r="W6" s="2">
        <f t="shared" si="16"/>
        <v>0.23879162928370001</v>
      </c>
      <c r="X6" s="2">
        <f t="shared" si="17"/>
        <v>0.38574900965835401</v>
      </c>
      <c r="Y6" s="2">
        <f t="shared" si="18"/>
        <v>1.0597863210238301</v>
      </c>
      <c r="Z6" s="2">
        <f t="shared" si="19"/>
        <v>1.0753577496611</v>
      </c>
      <c r="AA6" s="2">
        <f t="shared" si="20"/>
        <v>3.0452432757074801</v>
      </c>
      <c r="AB6" s="2">
        <f t="shared" si="21"/>
        <v>0.19160134893415001</v>
      </c>
      <c r="AC6" s="2">
        <f t="shared" si="22"/>
        <v>1.4868056742823099</v>
      </c>
      <c r="AD6" s="2">
        <f t="shared" si="23"/>
        <v>0.101825804497</v>
      </c>
      <c r="AE6" s="2">
        <f t="shared" si="24"/>
        <v>0.195755413990199</v>
      </c>
      <c r="AF6" s="2">
        <f t="shared" si="25"/>
        <v>0.141184108575276</v>
      </c>
      <c r="AG6" s="5">
        <f t="shared" si="26"/>
        <v>0.14971909381010501</v>
      </c>
      <c r="AH6" s="2">
        <f t="shared" si="27"/>
        <v>39.662997587321897</v>
      </c>
      <c r="AI6" s="2">
        <f t="shared" si="28"/>
        <v>0.48680567428231097</v>
      </c>
      <c r="AJ6" s="2">
        <f t="shared" si="29"/>
        <v>0.30869863346298099</v>
      </c>
      <c r="AK6" s="2">
        <f t="shared" si="30"/>
        <v>0.17293731904822099</v>
      </c>
      <c r="AL6" s="2">
        <f t="shared" si="31"/>
        <v>0.173659805301564</v>
      </c>
      <c r="AM6" s="2">
        <f t="shared" si="32"/>
        <v>4.30710978907838</v>
      </c>
      <c r="AN6" s="2">
        <f t="shared" si="33"/>
        <v>0.1369658247867</v>
      </c>
      <c r="AO6" s="2">
        <f t="shared" si="34"/>
        <v>0.48676998009911998</v>
      </c>
      <c r="AP6" s="2">
        <f t="shared" si="35"/>
        <v>2.8968881835600002</v>
      </c>
      <c r="AQ6" s="2">
        <f t="shared" si="36"/>
        <v>0.12678176015539999</v>
      </c>
      <c r="AR6" s="2">
        <f t="shared" si="37"/>
        <v>0.43483791871156302</v>
      </c>
      <c r="AS6" s="2">
        <f t="shared" si="38"/>
        <v>0.74343950146378202</v>
      </c>
      <c r="AT6" s="2">
        <f t="shared" si="39"/>
        <v>0.136733032006528</v>
      </c>
      <c r="AU6" s="2">
        <f t="shared" si="40"/>
        <v>0.34713889264492298</v>
      </c>
      <c r="AV6" s="2">
        <f t="shared" si="41"/>
        <v>0.121891790238754</v>
      </c>
      <c r="AW6" s="2">
        <f t="shared" si="42"/>
        <v>0.52500132294562596</v>
      </c>
      <c r="AX6" s="2">
        <f t="shared" si="43"/>
        <v>-2.49559556584E-2</v>
      </c>
      <c r="AY6" s="5">
        <f t="shared" si="44"/>
        <v>1.0445482398921699</v>
      </c>
      <c r="AZ6" s="2">
        <f t="shared" si="45"/>
        <v>0.13067300272471599</v>
      </c>
      <c r="BA6" s="2">
        <f t="shared" si="46"/>
        <v>0.75017729496625696</v>
      </c>
      <c r="BB6" s="2">
        <f t="shared" si="47"/>
        <v>8.3416179052691095E-2</v>
      </c>
      <c r="BC6" s="2">
        <f t="shared" si="48"/>
        <v>0.76961352613175804</v>
      </c>
      <c r="BD6" s="2">
        <f t="shared" si="49"/>
        <v>9.2455363856926001E-2</v>
      </c>
      <c r="BE6" s="2">
        <f t="shared" si="50"/>
        <v>-5.1150387366744002E-2</v>
      </c>
      <c r="BF6" s="2">
        <f t="shared" si="51"/>
        <v>0.33685494471044403</v>
      </c>
    </row>
    <row r="7" spans="1:58" s="2" customFormat="1" x14ac:dyDescent="0.15">
      <c r="A7" s="3">
        <v>191.5</v>
      </c>
      <c r="B7" s="4">
        <v>4.0896538505699999E-2</v>
      </c>
      <c r="C7" s="4">
        <v>7.6635182008900002E-2</v>
      </c>
      <c r="D7" s="4">
        <v>6.6360978079599994E-2</v>
      </c>
      <c r="E7" s="4">
        <v>0.19968047636200001</v>
      </c>
      <c r="F7" s="4">
        <v>0.29715677182599998</v>
      </c>
      <c r="G7" s="2">
        <f t="shared" si="0"/>
        <v>3.8775502848220502</v>
      </c>
      <c r="H7" s="2">
        <f t="shared" si="1"/>
        <v>0.22052158981709999</v>
      </c>
      <c r="I7" s="2">
        <f t="shared" si="2"/>
        <v>0.58995809715717396</v>
      </c>
      <c r="J7" s="2">
        <f t="shared" si="3"/>
        <v>-0.36490258918579299</v>
      </c>
      <c r="K7" s="2">
        <f t="shared" si="4"/>
        <v>2.8775502848220502</v>
      </c>
      <c r="L7" s="2">
        <f t="shared" si="5"/>
        <v>1.3029328802772999</v>
      </c>
      <c r="M7" s="2">
        <f t="shared" si="6"/>
        <v>0.378559659738124</v>
      </c>
      <c r="N7" s="2">
        <f t="shared" si="7"/>
        <v>0.35623076983263902</v>
      </c>
      <c r="O7" s="2">
        <f t="shared" si="8"/>
        <v>0.47922236809690799</v>
      </c>
      <c r="P7" s="2">
        <f t="shared" si="9"/>
        <v>0.36069169315437699</v>
      </c>
      <c r="Q7" s="2">
        <f t="shared" si="10"/>
        <v>0.63489552795244297</v>
      </c>
      <c r="R7" s="2">
        <f t="shared" si="11"/>
        <v>4.4778841485663499</v>
      </c>
      <c r="S7" s="2">
        <f t="shared" si="12"/>
        <v>0.51139263338081598</v>
      </c>
      <c r="T7" s="2">
        <f t="shared" si="13"/>
        <v>-0.30094323121234601</v>
      </c>
      <c r="U7" s="2">
        <f t="shared" si="14"/>
        <v>0.40091091428919201</v>
      </c>
      <c r="V7" s="2">
        <f t="shared" si="15"/>
        <v>0.380182754199902</v>
      </c>
      <c r="W7" s="2">
        <f t="shared" si="16"/>
        <v>0.2307957937464</v>
      </c>
      <c r="X7" s="2">
        <f t="shared" si="17"/>
        <v>0.382793961968869</v>
      </c>
      <c r="Y7" s="2">
        <f t="shared" si="18"/>
        <v>1.0653147553434399</v>
      </c>
      <c r="Z7" s="2">
        <f t="shared" si="19"/>
        <v>1.11610116690255</v>
      </c>
      <c r="AA7" s="2">
        <f t="shared" si="20"/>
        <v>3.0560754592259398</v>
      </c>
      <c r="AB7" s="2">
        <f t="shared" si="21"/>
        <v>0.18175887495279999</v>
      </c>
      <c r="AC7" s="2">
        <f t="shared" si="22"/>
        <v>1.4881613728088501</v>
      </c>
      <c r="AD7" s="2">
        <f t="shared" si="23"/>
        <v>9.7476295463999996E-2</v>
      </c>
      <c r="AE7" s="2">
        <f t="shared" si="24"/>
        <v>0.196193614346555</v>
      </c>
      <c r="AF7" s="2">
        <f t="shared" si="25"/>
        <v>0.13829037103209599</v>
      </c>
      <c r="AG7" s="5">
        <f t="shared" si="26"/>
        <v>0.14667835041455499</v>
      </c>
      <c r="AH7" s="2">
        <f t="shared" si="27"/>
        <v>39.754137999899797</v>
      </c>
      <c r="AI7" s="2">
        <f t="shared" si="28"/>
        <v>0.48816137280885502</v>
      </c>
      <c r="AJ7" s="2">
        <f t="shared" si="29"/>
        <v>0.30947397970709101</v>
      </c>
      <c r="AK7" s="2">
        <f t="shared" si="30"/>
        <v>0.169324189586125</v>
      </c>
      <c r="AL7" s="2">
        <f t="shared" si="31"/>
        <v>0.17214691013667399</v>
      </c>
      <c r="AM7" s="2">
        <f t="shared" si="32"/>
        <v>4.4778841485663499</v>
      </c>
      <c r="AN7" s="2">
        <f t="shared" si="33"/>
        <v>0.1333194982824</v>
      </c>
      <c r="AO7" s="2">
        <f t="shared" si="34"/>
        <v>0.50112302446333801</v>
      </c>
      <c r="AP7" s="2">
        <f t="shared" si="35"/>
        <v>3.0090044200747501</v>
      </c>
      <c r="AQ7" s="2">
        <f t="shared" si="36"/>
        <v>0.12304529435309999</v>
      </c>
      <c r="AR7" s="2">
        <f t="shared" si="37"/>
        <v>0.44530699084717001</v>
      </c>
      <c r="AS7" s="2">
        <f t="shared" si="38"/>
        <v>0.73114808201215797</v>
      </c>
      <c r="AT7" s="2">
        <f t="shared" si="39"/>
        <v>0.13363359417747001</v>
      </c>
      <c r="AU7" s="2">
        <f t="shared" si="40"/>
        <v>0.348195424657887</v>
      </c>
      <c r="AV7" s="2">
        <f t="shared" si="41"/>
        <v>0.117828812280508</v>
      </c>
      <c r="AW7" s="2">
        <f t="shared" si="42"/>
        <v>0.52762377075528599</v>
      </c>
      <c r="AX7" s="2">
        <f t="shared" si="43"/>
        <v>-2.5568998889100001E-2</v>
      </c>
      <c r="AY7" s="5">
        <f t="shared" si="44"/>
        <v>1.0465904673452699</v>
      </c>
      <c r="AZ7" s="2">
        <f t="shared" si="45"/>
        <v>0.126890816905843</v>
      </c>
      <c r="BA7" s="2">
        <f t="shared" si="46"/>
        <v>0.72983361038249095</v>
      </c>
      <c r="BB7" s="2">
        <f t="shared" si="47"/>
        <v>7.9426115306786393E-2</v>
      </c>
      <c r="BC7" s="2">
        <f t="shared" si="48"/>
        <v>0.73456332737407204</v>
      </c>
      <c r="BD7" s="2">
        <f t="shared" si="49"/>
        <v>8.6352055235908803E-2</v>
      </c>
      <c r="BE7" s="2">
        <f t="shared" si="50"/>
        <v>-5.1584793722676103E-2</v>
      </c>
      <c r="BF7" s="2">
        <f t="shared" si="51"/>
        <v>0.33255516839577398</v>
      </c>
    </row>
    <row r="8" spans="1:58" s="2" customFormat="1" x14ac:dyDescent="0.15">
      <c r="A8" s="3">
        <v>182.5</v>
      </c>
      <c r="B8" s="4">
        <v>6.0866524582499998E-2</v>
      </c>
      <c r="C8" s="4">
        <v>0.106086999733</v>
      </c>
      <c r="D8" s="4">
        <v>0.10657485913799999</v>
      </c>
      <c r="E8" s="4">
        <v>0.22176860665699999</v>
      </c>
      <c r="F8" s="4">
        <v>0.300148293944</v>
      </c>
      <c r="G8" s="2">
        <f t="shared" si="0"/>
        <v>2.82926555279548</v>
      </c>
      <c r="H8" s="2">
        <f t="shared" si="1"/>
        <v>0.19406129421099999</v>
      </c>
      <c r="I8" s="2">
        <f t="shared" si="2"/>
        <v>0.47770663266225</v>
      </c>
      <c r="J8" s="2">
        <f t="shared" si="3"/>
        <v>-0.49308121134563698</v>
      </c>
      <c r="K8" s="2">
        <f t="shared" si="4"/>
        <v>1.82926555279548</v>
      </c>
      <c r="L8" s="2">
        <f t="shared" si="5"/>
        <v>0.93480066723926603</v>
      </c>
      <c r="M8" s="2">
        <f t="shared" si="6"/>
        <v>0.32121011325371202</v>
      </c>
      <c r="N8" s="2">
        <f t="shared" si="7"/>
        <v>0.29803804322261301</v>
      </c>
      <c r="O8" s="2">
        <f t="shared" si="8"/>
        <v>0.39755752387482102</v>
      </c>
      <c r="P8" s="2">
        <f t="shared" si="9"/>
        <v>0.304473919059769</v>
      </c>
      <c r="Q8" s="2">
        <f t="shared" si="10"/>
        <v>0.47593414178457999</v>
      </c>
      <c r="R8" s="2">
        <f t="shared" si="11"/>
        <v>2.8163142449510401</v>
      </c>
      <c r="S8" s="2">
        <f t="shared" si="12"/>
        <v>0.39621671208211601</v>
      </c>
      <c r="T8" s="2">
        <f t="shared" si="13"/>
        <v>-0.49481555803858102</v>
      </c>
      <c r="U8" s="2">
        <f t="shared" si="14"/>
        <v>0.32023021715288802</v>
      </c>
      <c r="V8" s="2">
        <f t="shared" si="15"/>
        <v>0.29706736338759998</v>
      </c>
      <c r="W8" s="2">
        <f t="shared" si="16"/>
        <v>0.19357343480600001</v>
      </c>
      <c r="X8" s="2">
        <f t="shared" si="17"/>
        <v>0.303526286450922</v>
      </c>
      <c r="Y8" s="2">
        <f t="shared" si="18"/>
        <v>0.98789379074097805</v>
      </c>
      <c r="Z8" s="2">
        <f t="shared" si="19"/>
        <v>0.67818778596170304</v>
      </c>
      <c r="AA8" s="2">
        <f t="shared" si="20"/>
        <v>2.8399217493696698</v>
      </c>
      <c r="AB8" s="2">
        <f t="shared" si="21"/>
        <v>0.20336157654100001</v>
      </c>
      <c r="AC8" s="2">
        <f t="shared" si="22"/>
        <v>1.35343003894247</v>
      </c>
      <c r="AD8" s="2">
        <f t="shared" si="23"/>
        <v>7.8379687286999997E-2</v>
      </c>
      <c r="AE8" s="2">
        <f t="shared" si="24"/>
        <v>0.150176564883689</v>
      </c>
      <c r="AF8" s="2">
        <f t="shared" si="25"/>
        <v>0.108493281789332</v>
      </c>
      <c r="AG8" s="5">
        <f t="shared" si="26"/>
        <v>0.11504803459200701</v>
      </c>
      <c r="AH8" s="2">
        <f t="shared" si="27"/>
        <v>30.264213973922701</v>
      </c>
      <c r="AI8" s="2">
        <f t="shared" si="28"/>
        <v>0.353430038942466</v>
      </c>
      <c r="AJ8" s="2">
        <f t="shared" si="29"/>
        <v>0.23038426416551999</v>
      </c>
      <c r="AK8" s="2">
        <f t="shared" si="30"/>
        <v>0.12966419852727401</v>
      </c>
      <c r="AL8" s="2">
        <f t="shared" si="31"/>
        <v>0.13333067001681301</v>
      </c>
      <c r="AM8" s="2">
        <f t="shared" si="32"/>
        <v>2.8163142449510401</v>
      </c>
      <c r="AN8" s="2">
        <f t="shared" si="33"/>
        <v>0.11519374751899999</v>
      </c>
      <c r="AO8" s="2">
        <f t="shared" si="34"/>
        <v>0.35083307426291499</v>
      </c>
      <c r="AP8" s="2">
        <f t="shared" si="35"/>
        <v>2.0808716844733501</v>
      </c>
      <c r="AQ8" s="2">
        <f t="shared" si="36"/>
        <v>0.11568160692399999</v>
      </c>
      <c r="AR8" s="2">
        <f t="shared" si="37"/>
        <v>0.35284315616183498</v>
      </c>
      <c r="AS8" s="2">
        <f t="shared" si="38"/>
        <v>0.68041615951483903</v>
      </c>
      <c r="AT8" s="2">
        <f t="shared" si="39"/>
        <v>0.16892729436326501</v>
      </c>
      <c r="AU8" s="2">
        <f t="shared" si="40"/>
        <v>0.35313253076780798</v>
      </c>
      <c r="AV8" s="2">
        <f t="shared" si="41"/>
        <v>0.169572404866944</v>
      </c>
      <c r="AW8" s="2">
        <f t="shared" si="42"/>
        <v>0.47756917937738003</v>
      </c>
      <c r="AX8" s="2">
        <f t="shared" si="43"/>
        <v>-3.7301919636999997E-2</v>
      </c>
      <c r="AY8" s="5">
        <f t="shared" si="44"/>
        <v>0.99748605507871402</v>
      </c>
      <c r="AZ8" s="2">
        <f t="shared" si="45"/>
        <v>0.106778063444895</v>
      </c>
      <c r="BA8" s="2">
        <f t="shared" si="46"/>
        <v>0.93804792842165396</v>
      </c>
      <c r="BB8" s="2">
        <f t="shared" si="47"/>
        <v>5.3551746220898901E-2</v>
      </c>
      <c r="BC8" s="2">
        <f t="shared" si="48"/>
        <v>0.72988905259600101</v>
      </c>
      <c r="BD8" s="2">
        <f t="shared" si="49"/>
        <v>7.7946201016373104E-2</v>
      </c>
      <c r="BE8" s="2">
        <f t="shared" si="50"/>
        <v>-6.7596557108159996E-2</v>
      </c>
      <c r="BF8" s="2">
        <f t="shared" si="51"/>
        <v>0.31436985508607601</v>
      </c>
    </row>
    <row r="9" spans="1:58" s="2" customFormat="1" x14ac:dyDescent="0.15">
      <c r="A9" s="3">
        <v>173.5</v>
      </c>
      <c r="B9" s="4">
        <v>5.4626586089100003E-2</v>
      </c>
      <c r="C9" s="4">
        <v>9.9310091959300004E-2</v>
      </c>
      <c r="D9" s="4">
        <v>9.7966141733699996E-2</v>
      </c>
      <c r="E9" s="4">
        <v>0.217530263019</v>
      </c>
      <c r="F9" s="4">
        <v>0.29588644035700001</v>
      </c>
      <c r="G9" s="2">
        <f t="shared" si="0"/>
        <v>2.9794196593661599</v>
      </c>
      <c r="H9" s="2">
        <f t="shared" si="1"/>
        <v>0.1965763483977</v>
      </c>
      <c r="I9" s="2">
        <f t="shared" si="2"/>
        <v>0.49741415301783998</v>
      </c>
      <c r="J9" s="2">
        <f t="shared" si="3"/>
        <v>-0.47326355286129101</v>
      </c>
      <c r="K9" s="2">
        <f t="shared" si="4"/>
        <v>1.9794196593661599</v>
      </c>
      <c r="L9" s="2">
        <f t="shared" si="5"/>
        <v>0.99226576748897399</v>
      </c>
      <c r="M9" s="2">
        <f t="shared" si="6"/>
        <v>0.32938523771265599</v>
      </c>
      <c r="N9" s="2">
        <f t="shared" si="7"/>
        <v>0.30570022150875797</v>
      </c>
      <c r="O9" s="2">
        <f t="shared" si="8"/>
        <v>0.410716837855576</v>
      </c>
      <c r="P9" s="2">
        <f t="shared" si="9"/>
        <v>0.31269771000373803</v>
      </c>
      <c r="Q9" s="2">
        <f t="shared" si="10"/>
        <v>0.50252380617304404</v>
      </c>
      <c r="R9" s="2">
        <f t="shared" si="11"/>
        <v>3.0202928799758602</v>
      </c>
      <c r="S9" s="2">
        <f t="shared" si="12"/>
        <v>0.41452825865029602</v>
      </c>
      <c r="T9" s="2">
        <f t="shared" si="13"/>
        <v>-0.467959782499208</v>
      </c>
      <c r="U9" s="2">
        <f t="shared" si="14"/>
        <v>0.33213580615335198</v>
      </c>
      <c r="V9" s="2">
        <f t="shared" si="15"/>
        <v>0.30844964579022099</v>
      </c>
      <c r="W9" s="2">
        <f t="shared" si="16"/>
        <v>0.19792029862329999</v>
      </c>
      <c r="X9" s="2">
        <f t="shared" si="17"/>
        <v>0.31537225905758798</v>
      </c>
      <c r="Y9" s="2">
        <f t="shared" si="18"/>
        <v>1.00126110788997</v>
      </c>
      <c r="Z9" s="2">
        <f t="shared" si="19"/>
        <v>0.73789898439922597</v>
      </c>
      <c r="AA9" s="2">
        <f t="shared" si="20"/>
        <v>2.8778160163547302</v>
      </c>
      <c r="AB9" s="2">
        <f t="shared" si="21"/>
        <v>0.19692629104535</v>
      </c>
      <c r="AC9" s="2">
        <f t="shared" si="22"/>
        <v>1.3602081671328501</v>
      </c>
      <c r="AD9" s="2">
        <f t="shared" si="23"/>
        <v>7.8356177338000002E-2</v>
      </c>
      <c r="AE9" s="2">
        <f t="shared" si="24"/>
        <v>0.15261711748520199</v>
      </c>
      <c r="AF9" s="2">
        <f t="shared" si="25"/>
        <v>0.109354898941405</v>
      </c>
      <c r="AG9" s="5">
        <f t="shared" si="26"/>
        <v>0.11597822062282701</v>
      </c>
      <c r="AH9" s="2">
        <f t="shared" si="27"/>
        <v>30.763775210312101</v>
      </c>
      <c r="AI9" s="2">
        <f t="shared" si="28"/>
        <v>0.36020816713284698</v>
      </c>
      <c r="AJ9" s="2">
        <f t="shared" si="29"/>
        <v>0.23446520458789399</v>
      </c>
      <c r="AK9" s="2">
        <f t="shared" si="30"/>
        <v>0.13149177880326801</v>
      </c>
      <c r="AL9" s="2">
        <f t="shared" si="31"/>
        <v>0.134973138112569</v>
      </c>
      <c r="AM9" s="2">
        <f t="shared" si="32"/>
        <v>3.0202928799758602</v>
      </c>
      <c r="AN9" s="2">
        <f t="shared" si="33"/>
        <v>0.1195641212853</v>
      </c>
      <c r="AO9" s="2">
        <f t="shared" si="34"/>
        <v>0.378971422444638</v>
      </c>
      <c r="AP9" s="2">
        <f t="shared" si="35"/>
        <v>2.2204637150078801</v>
      </c>
      <c r="AQ9" s="2">
        <f t="shared" si="36"/>
        <v>0.11822017105969999</v>
      </c>
      <c r="AR9" s="2">
        <f t="shared" si="37"/>
        <v>0.37312220240315302</v>
      </c>
      <c r="AS9" s="2">
        <f t="shared" si="38"/>
        <v>0.65534858196322199</v>
      </c>
      <c r="AT9" s="2">
        <f t="shared" si="39"/>
        <v>0.162078911376733</v>
      </c>
      <c r="AU9" s="2">
        <f t="shared" si="40"/>
        <v>0.35501999369876103</v>
      </c>
      <c r="AV9" s="2">
        <f t="shared" si="41"/>
        <v>0.16023698165119801</v>
      </c>
      <c r="AW9" s="2">
        <f t="shared" si="42"/>
        <v>0.48396261478993502</v>
      </c>
      <c r="AX9" s="2">
        <f t="shared" si="43"/>
        <v>-3.9863993721699999E-2</v>
      </c>
      <c r="AY9" s="5">
        <f t="shared" si="44"/>
        <v>1.00683678497721</v>
      </c>
      <c r="AZ9" s="2">
        <f t="shared" si="45"/>
        <v>0.105530641289784</v>
      </c>
      <c r="BA9" s="2">
        <f t="shared" si="46"/>
        <v>0.87985839784382402</v>
      </c>
      <c r="BB9" s="2">
        <f t="shared" si="47"/>
        <v>5.3103761449316597E-2</v>
      </c>
      <c r="BC9" s="2">
        <f t="shared" si="48"/>
        <v>0.71998939368126802</v>
      </c>
      <c r="BD9" s="2">
        <f t="shared" si="49"/>
        <v>7.3540848036729306E-2</v>
      </c>
      <c r="BE9" s="2">
        <f t="shared" si="50"/>
        <v>-7.1590571486412E-2</v>
      </c>
      <c r="BF9" s="2">
        <f t="shared" si="51"/>
        <v>0.30682101938448098</v>
      </c>
    </row>
    <row r="10" spans="1:58" s="2" customFormat="1" x14ac:dyDescent="0.15">
      <c r="A10" s="3">
        <v>184.5</v>
      </c>
      <c r="B10" s="4">
        <v>5.3972011598899999E-2</v>
      </c>
      <c r="C10" s="4">
        <v>9.5868712834599995E-2</v>
      </c>
      <c r="D10" s="4">
        <v>9.3618439702100001E-2</v>
      </c>
      <c r="E10" s="4">
        <v>0.21125690909</v>
      </c>
      <c r="F10" s="4">
        <v>0.29132257834199998</v>
      </c>
      <c r="G10" s="2">
        <f t="shared" si="0"/>
        <v>3.0387659302843901</v>
      </c>
      <c r="H10" s="2">
        <f t="shared" si="1"/>
        <v>0.19545386550739999</v>
      </c>
      <c r="I10" s="2">
        <f t="shared" si="2"/>
        <v>0.50479922963518398</v>
      </c>
      <c r="J10" s="2">
        <f t="shared" si="3"/>
        <v>-0.46557520122846902</v>
      </c>
      <c r="K10" s="2">
        <f t="shared" si="4"/>
        <v>2.0387659302843901</v>
      </c>
      <c r="L10" s="2">
        <f t="shared" si="5"/>
        <v>1.0144789160026999</v>
      </c>
      <c r="M10" s="2">
        <f t="shared" si="6"/>
        <v>0.330459508763078</v>
      </c>
      <c r="N10" s="2">
        <f t="shared" si="7"/>
        <v>0.30626207492100299</v>
      </c>
      <c r="O10" s="2">
        <f t="shared" si="8"/>
        <v>0.414345929192448</v>
      </c>
      <c r="P10" s="2">
        <f t="shared" si="9"/>
        <v>0.31410979089699598</v>
      </c>
      <c r="Q10" s="2">
        <f t="shared" si="10"/>
        <v>0.51359592605756099</v>
      </c>
      <c r="R10" s="2">
        <f t="shared" si="11"/>
        <v>3.1118076659791298</v>
      </c>
      <c r="S10" s="2">
        <f t="shared" si="12"/>
        <v>0.42084701505021299</v>
      </c>
      <c r="T10" s="2">
        <f t="shared" si="13"/>
        <v>-0.456222048087295</v>
      </c>
      <c r="U10" s="2">
        <f t="shared" si="14"/>
        <v>0.33511409451366603</v>
      </c>
      <c r="V10" s="2">
        <f t="shared" si="15"/>
        <v>0.310923634011321</v>
      </c>
      <c r="W10" s="2">
        <f t="shared" si="16"/>
        <v>0.1977041386399</v>
      </c>
      <c r="X10" s="2">
        <f t="shared" si="17"/>
        <v>0.318653479771008</v>
      </c>
      <c r="Y10" s="2">
        <f t="shared" si="18"/>
        <v>1.00677501263071</v>
      </c>
      <c r="Z10" s="2">
        <f t="shared" si="19"/>
        <v>0.76403165107067506</v>
      </c>
      <c r="AA10" s="2">
        <f t="shared" si="20"/>
        <v>2.8936837124347399</v>
      </c>
      <c r="AB10" s="2">
        <f t="shared" si="21"/>
        <v>0.19247050902205001</v>
      </c>
      <c r="AC10" s="2">
        <f t="shared" si="22"/>
        <v>1.3789966898450201</v>
      </c>
      <c r="AD10" s="2">
        <f t="shared" si="23"/>
        <v>8.0065669251999996E-2</v>
      </c>
      <c r="AE10" s="2">
        <f t="shared" si="24"/>
        <v>0.15930946497857801</v>
      </c>
      <c r="AF10" s="2">
        <f t="shared" si="25"/>
        <v>0.11293900535991901</v>
      </c>
      <c r="AG10" s="5">
        <f t="shared" si="26"/>
        <v>0.11978950834673401</v>
      </c>
      <c r="AH10" s="2">
        <f t="shared" si="27"/>
        <v>32.135619840583203</v>
      </c>
      <c r="AI10" s="2">
        <f t="shared" si="28"/>
        <v>0.378996689845018</v>
      </c>
      <c r="AJ10" s="2">
        <f t="shared" si="29"/>
        <v>0.24571886351654401</v>
      </c>
      <c r="AK10" s="2">
        <f t="shared" si="30"/>
        <v>0.13571356896015799</v>
      </c>
      <c r="AL10" s="2">
        <f t="shared" si="31"/>
        <v>0.140173636664011</v>
      </c>
      <c r="AM10" s="2">
        <f t="shared" si="32"/>
        <v>3.1118076659791298</v>
      </c>
      <c r="AN10" s="2">
        <f t="shared" si="33"/>
        <v>0.1176384693879</v>
      </c>
      <c r="AO10" s="2">
        <f t="shared" si="34"/>
        <v>0.38585759673249198</v>
      </c>
      <c r="AP10" s="2">
        <f t="shared" si="35"/>
        <v>2.2565737023842001</v>
      </c>
      <c r="AQ10" s="2">
        <f t="shared" si="36"/>
        <v>0.11538819625540001</v>
      </c>
      <c r="AR10" s="2">
        <f t="shared" si="37"/>
        <v>0.37570358191648401</v>
      </c>
      <c r="AS10" s="2">
        <f t="shared" si="38"/>
        <v>0.68060787996137695</v>
      </c>
      <c r="AT10" s="2">
        <f t="shared" si="39"/>
        <v>0.16019550696600299</v>
      </c>
      <c r="AU10" s="2">
        <f t="shared" si="40"/>
        <v>0.35300784428107301</v>
      </c>
      <c r="AV10" s="2">
        <f t="shared" si="41"/>
        <v>0.15702577188102601</v>
      </c>
      <c r="AW10" s="2">
        <f t="shared" si="42"/>
        <v>0.48863400069566898</v>
      </c>
      <c r="AX10" s="2">
        <f t="shared" si="43"/>
        <v>-3.5322527003400002E-2</v>
      </c>
      <c r="AY10" s="5">
        <f t="shared" si="44"/>
        <v>1.0115130653807101</v>
      </c>
      <c r="AZ10" s="2">
        <f t="shared" si="45"/>
        <v>0.108793823418953</v>
      </c>
      <c r="BA10" s="2">
        <f t="shared" si="46"/>
        <v>0.87440899529423999</v>
      </c>
      <c r="BB10" s="2">
        <f t="shared" si="47"/>
        <v>5.6504246158310401E-2</v>
      </c>
      <c r="BC10" s="2">
        <f t="shared" si="48"/>
        <v>0.71045687896284304</v>
      </c>
      <c r="BD10" s="2">
        <f t="shared" si="49"/>
        <v>7.6616996104150306E-2</v>
      </c>
      <c r="BE10" s="2">
        <f t="shared" si="50"/>
        <v>-6.4711022435543997E-2</v>
      </c>
      <c r="BF10" s="2">
        <f t="shared" si="51"/>
        <v>0.31558975455194399</v>
      </c>
    </row>
    <row r="11" spans="1:58" s="2" customFormat="1" x14ac:dyDescent="0.15">
      <c r="A11" s="3">
        <v>161.5</v>
      </c>
      <c r="B11" s="4">
        <v>7.4767885723299995E-2</v>
      </c>
      <c r="C11" s="4">
        <v>0.12985273570299999</v>
      </c>
      <c r="D11" s="4">
        <v>0.138494365979</v>
      </c>
      <c r="E11" s="4">
        <v>0.240344292332</v>
      </c>
      <c r="F11" s="4">
        <v>0.299315079082</v>
      </c>
      <c r="G11" s="2">
        <f t="shared" si="0"/>
        <v>2.3050348339722002</v>
      </c>
      <c r="H11" s="2">
        <f t="shared" si="1"/>
        <v>0.16946234337900001</v>
      </c>
      <c r="I11" s="2">
        <f t="shared" si="2"/>
        <v>0.39486265638045498</v>
      </c>
      <c r="J11" s="2">
        <f t="shared" si="3"/>
        <v>-0.56665631462987598</v>
      </c>
      <c r="K11" s="2">
        <f t="shared" si="4"/>
        <v>1.3050348339722</v>
      </c>
      <c r="L11" s="2">
        <f t="shared" si="5"/>
        <v>0.71785062597401605</v>
      </c>
      <c r="M11" s="2">
        <f t="shared" si="6"/>
        <v>0.27357115800154802</v>
      </c>
      <c r="N11" s="2">
        <f t="shared" si="7"/>
        <v>0.25161086247429099</v>
      </c>
      <c r="O11" s="2">
        <f t="shared" si="8"/>
        <v>0.33365080947501302</v>
      </c>
      <c r="P11" s="2">
        <f t="shared" si="9"/>
        <v>0.25867808384764401</v>
      </c>
      <c r="Q11" s="2">
        <f t="shared" si="10"/>
        <v>0.36733038749447899</v>
      </c>
      <c r="R11" s="2">
        <f t="shared" si="11"/>
        <v>2.1612076200080601</v>
      </c>
      <c r="S11" s="2">
        <f t="shared" si="12"/>
        <v>0.31205935058527601</v>
      </c>
      <c r="T11" s="2">
        <f t="shared" si="13"/>
        <v>-0.58812726928852499</v>
      </c>
      <c r="U11" s="2">
        <f t="shared" si="14"/>
        <v>0.25722823642366799</v>
      </c>
      <c r="V11" s="2">
        <f t="shared" si="15"/>
        <v>0.23605388794429699</v>
      </c>
      <c r="W11" s="2">
        <f t="shared" si="16"/>
        <v>0.160820713103</v>
      </c>
      <c r="X11" s="2">
        <f t="shared" si="17"/>
        <v>0.24305212375386401</v>
      </c>
      <c r="Y11" s="2">
        <f t="shared" si="18"/>
        <v>0.93130574329512195</v>
      </c>
      <c r="Z11" s="2">
        <f t="shared" si="19"/>
        <v>0.47010462893226101</v>
      </c>
      <c r="AA11" s="2">
        <f t="shared" si="20"/>
        <v>2.6846557764273999</v>
      </c>
      <c r="AB11" s="2">
        <f t="shared" si="21"/>
        <v>0.2189047225305</v>
      </c>
      <c r="AC11" s="2">
        <f t="shared" si="22"/>
        <v>1.2453596304610399</v>
      </c>
      <c r="AD11" s="2">
        <f t="shared" si="23"/>
        <v>5.8970786749999997E-2</v>
      </c>
      <c r="AE11" s="2">
        <f t="shared" si="24"/>
        <v>0.10927409005329899</v>
      </c>
      <c r="AF11" s="2">
        <f t="shared" si="25"/>
        <v>8.0274398545447698E-2</v>
      </c>
      <c r="AG11" s="5">
        <f t="shared" si="26"/>
        <v>8.5081886007235499E-2</v>
      </c>
      <c r="AH11" s="2">
        <f t="shared" si="27"/>
        <v>21.9424348012774</v>
      </c>
      <c r="AI11" s="2">
        <f t="shared" si="28"/>
        <v>0.24535963046104101</v>
      </c>
      <c r="AJ11" s="2">
        <f t="shared" si="29"/>
        <v>0.163742023788775</v>
      </c>
      <c r="AK11" s="2">
        <f t="shared" si="30"/>
        <v>9.4322125449745706E-2</v>
      </c>
      <c r="AL11" s="2">
        <f t="shared" si="31"/>
        <v>9.7770594413324793E-2</v>
      </c>
      <c r="AM11" s="2">
        <f t="shared" si="32"/>
        <v>2.1612076200080601</v>
      </c>
      <c r="AN11" s="2">
        <f t="shared" si="33"/>
        <v>0.101849926353</v>
      </c>
      <c r="AO11" s="2">
        <f t="shared" si="34"/>
        <v>0.26884776439417202</v>
      </c>
      <c r="AP11" s="2">
        <f t="shared" si="35"/>
        <v>1.73540844519584</v>
      </c>
      <c r="AQ11" s="2">
        <f t="shared" si="36"/>
        <v>0.110491556629</v>
      </c>
      <c r="AR11" s="2">
        <f t="shared" si="37"/>
        <v>0.298466892658451</v>
      </c>
      <c r="AS11" s="2">
        <f t="shared" si="38"/>
        <v>0.57899685214905405</v>
      </c>
      <c r="AT11" s="2">
        <f t="shared" si="39"/>
        <v>0.193951288292846</v>
      </c>
      <c r="AU11" s="2">
        <f t="shared" si="40"/>
        <v>0.358984236098361</v>
      </c>
      <c r="AV11" s="2">
        <f t="shared" si="41"/>
        <v>0.20422266861111499</v>
      </c>
      <c r="AW11" s="2">
        <f t="shared" si="42"/>
        <v>0.44136758758072397</v>
      </c>
      <c r="AX11" s="2">
        <f t="shared" si="43"/>
        <v>-5.1520769878999999E-2</v>
      </c>
      <c r="AY11" s="5">
        <f t="shared" si="44"/>
        <v>0.949005601458767</v>
      </c>
      <c r="AZ11" s="2">
        <f t="shared" si="45"/>
        <v>8.34105752385568E-2</v>
      </c>
      <c r="BA11" s="2">
        <f t="shared" si="46"/>
        <v>1.13831690913002</v>
      </c>
      <c r="BB11" s="2">
        <f t="shared" si="47"/>
        <v>3.1231524929470199E-2</v>
      </c>
      <c r="BC11" s="2">
        <f t="shared" si="48"/>
        <v>0.71535461190858896</v>
      </c>
      <c r="BD11" s="2">
        <f t="shared" si="49"/>
        <v>5.6744585945740098E-2</v>
      </c>
      <c r="BE11" s="2">
        <f t="shared" si="50"/>
        <v>-8.744889542124E-2</v>
      </c>
      <c r="BF11" s="2">
        <f t="shared" si="51"/>
        <v>0.276739489763276</v>
      </c>
    </row>
    <row r="12" spans="1:58" s="2" customFormat="1" x14ac:dyDescent="0.15">
      <c r="A12" s="3">
        <v>159.5</v>
      </c>
      <c r="B12" s="4">
        <v>7.7587613185100004E-2</v>
      </c>
      <c r="C12" s="4">
        <v>0.13115961537599999</v>
      </c>
      <c r="D12" s="4">
        <v>0.14758570730600001</v>
      </c>
      <c r="E12" s="4">
        <v>0.23320313574500001</v>
      </c>
      <c r="F12" s="4">
        <v>0.28434895695599999</v>
      </c>
      <c r="G12" s="2">
        <f t="shared" si="0"/>
        <v>2.16796119858118</v>
      </c>
      <c r="H12" s="2">
        <f t="shared" si="1"/>
        <v>0.15318934158</v>
      </c>
      <c r="I12" s="2">
        <f t="shared" si="2"/>
        <v>0.36867913631779098</v>
      </c>
      <c r="J12" s="2">
        <f t="shared" si="3"/>
        <v>-0.58710591499123699</v>
      </c>
      <c r="K12" s="2">
        <f t="shared" si="4"/>
        <v>1.16796119858118</v>
      </c>
      <c r="L12" s="2">
        <f t="shared" si="5"/>
        <v>0.65620341811484195</v>
      </c>
      <c r="M12" s="2">
        <f t="shared" si="6"/>
        <v>0.25099056340312598</v>
      </c>
      <c r="N12" s="2">
        <f t="shared" si="7"/>
        <v>0.22862906067913899</v>
      </c>
      <c r="O12" s="2">
        <f t="shared" si="8"/>
        <v>0.30876974692618198</v>
      </c>
      <c r="P12" s="2">
        <f t="shared" si="9"/>
        <v>0.23765040321195599</v>
      </c>
      <c r="Q12" s="2">
        <f t="shared" si="10"/>
        <v>0.31662948349763198</v>
      </c>
      <c r="R12" s="2">
        <f t="shared" si="11"/>
        <v>1.9266700153182099</v>
      </c>
      <c r="S12" s="2">
        <f t="shared" si="12"/>
        <v>0.26801162218095897</v>
      </c>
      <c r="T12" s="2">
        <f t="shared" si="13"/>
        <v>-0.624430918812238</v>
      </c>
      <c r="U12" s="2">
        <f t="shared" si="14"/>
        <v>0.22012795783002101</v>
      </c>
      <c r="V12" s="2">
        <f t="shared" si="15"/>
        <v>0.19981770289171499</v>
      </c>
      <c r="W12" s="2">
        <f t="shared" si="16"/>
        <v>0.13676324965</v>
      </c>
      <c r="X12" s="2">
        <f t="shared" si="17"/>
        <v>0.20809439468216601</v>
      </c>
      <c r="Y12" s="2">
        <f t="shared" si="18"/>
        <v>0.90367554105310999</v>
      </c>
      <c r="Z12" s="2">
        <f t="shared" si="19"/>
        <v>0.38804539382478798</v>
      </c>
      <c r="AA12" s="2">
        <f t="shared" si="20"/>
        <v>2.6226175732719299</v>
      </c>
      <c r="AB12" s="2">
        <f t="shared" si="21"/>
        <v>0.215967332131</v>
      </c>
      <c r="AC12" s="2">
        <f t="shared" si="22"/>
        <v>1.21931875421661</v>
      </c>
      <c r="AD12" s="2">
        <f t="shared" si="23"/>
        <v>5.1145821211000003E-2</v>
      </c>
      <c r="AE12" s="2">
        <f t="shared" si="24"/>
        <v>9.88225570571655E-2</v>
      </c>
      <c r="AF12" s="2">
        <f t="shared" si="25"/>
        <v>7.1094028123743505E-2</v>
      </c>
      <c r="AG12" s="5">
        <f t="shared" si="26"/>
        <v>7.5395385029239204E-2</v>
      </c>
      <c r="AH12" s="2">
        <f t="shared" si="27"/>
        <v>19.829230459973001</v>
      </c>
      <c r="AI12" s="2">
        <f t="shared" si="28"/>
        <v>0.21931875421660799</v>
      </c>
      <c r="AJ12" s="2">
        <f t="shared" si="29"/>
        <v>0.14721970011610999</v>
      </c>
      <c r="AK12" s="2">
        <f t="shared" si="30"/>
        <v>8.2322006851471299E-2</v>
      </c>
      <c r="AL12" s="2">
        <f t="shared" si="31"/>
        <v>8.7563972193266601E-2</v>
      </c>
      <c r="AM12" s="2">
        <f t="shared" si="32"/>
        <v>1.9266700153182099</v>
      </c>
      <c r="AN12" s="2">
        <f t="shared" si="33"/>
        <v>8.5617428438999998E-2</v>
      </c>
      <c r="AO12" s="2">
        <f t="shared" si="34"/>
        <v>0.22484227151459099</v>
      </c>
      <c r="AP12" s="2">
        <f t="shared" si="35"/>
        <v>1.5801200536409901</v>
      </c>
      <c r="AQ12" s="2">
        <f t="shared" si="36"/>
        <v>0.102043520369</v>
      </c>
      <c r="AR12" s="2">
        <f t="shared" si="37"/>
        <v>0.28006024231360799</v>
      </c>
      <c r="AS12" s="2">
        <f t="shared" si="38"/>
        <v>0.59737628358506401</v>
      </c>
      <c r="AT12" s="2">
        <f t="shared" si="39"/>
        <v>0.20218475132012201</v>
      </c>
      <c r="AU12" s="2">
        <f t="shared" si="40"/>
        <v>0.35948655287306702</v>
      </c>
      <c r="AV12" s="2">
        <f t="shared" si="41"/>
        <v>0.22188741536633</v>
      </c>
      <c r="AW12" s="2">
        <f t="shared" si="42"/>
        <v>0.42750382996276498</v>
      </c>
      <c r="AX12" s="2">
        <f t="shared" si="43"/>
        <v>-5.0897699158E-2</v>
      </c>
      <c r="AY12" s="5">
        <f t="shared" si="44"/>
        <v>0.89277261876981295</v>
      </c>
      <c r="AZ12" s="2">
        <f t="shared" si="45"/>
        <v>7.5220166056873594E-2</v>
      </c>
      <c r="BA12" s="2">
        <f t="shared" si="46"/>
        <v>1.2281531836038999</v>
      </c>
      <c r="BB12" s="2">
        <f t="shared" si="47"/>
        <v>2.5005731575464301E-2</v>
      </c>
      <c r="BC12" s="2">
        <f t="shared" si="48"/>
        <v>0.67580740425173602</v>
      </c>
      <c r="BD12" s="2">
        <f t="shared" si="49"/>
        <v>5.3382666521488202E-2</v>
      </c>
      <c r="BE12" s="2">
        <f t="shared" si="50"/>
        <v>-8.5537909231800102E-2</v>
      </c>
      <c r="BF12" s="2">
        <f t="shared" si="51"/>
        <v>0.268044885979073</v>
      </c>
    </row>
    <row r="13" spans="1:58" s="2" customFormat="1" x14ac:dyDescent="0.15">
      <c r="A13" s="3">
        <v>146.5</v>
      </c>
      <c r="B13" s="4">
        <v>8.1290586658399999E-2</v>
      </c>
      <c r="C13" s="4">
        <v>0.13580883559900001</v>
      </c>
      <c r="D13" s="4">
        <v>0.15472287512899999</v>
      </c>
      <c r="E13" s="4">
        <v>0.232468226143</v>
      </c>
      <c r="F13" s="4">
        <v>0.27860671080999999</v>
      </c>
      <c r="G13" s="2">
        <f t="shared" si="0"/>
        <v>2.0514623336631499</v>
      </c>
      <c r="H13" s="2">
        <f t="shared" si="1"/>
        <v>0.14279787521100001</v>
      </c>
      <c r="I13" s="2">
        <f t="shared" si="2"/>
        <v>0.344576540258623</v>
      </c>
      <c r="J13" s="2">
        <f t="shared" si="3"/>
        <v>-0.60491040951670805</v>
      </c>
      <c r="K13" s="2">
        <f t="shared" si="4"/>
        <v>1.0514623336631499</v>
      </c>
      <c r="L13" s="2">
        <f t="shared" si="5"/>
        <v>0.60192130145552003</v>
      </c>
      <c r="M13" s="2">
        <f t="shared" si="6"/>
        <v>0.234244500388988</v>
      </c>
      <c r="N13" s="2">
        <f t="shared" si="7"/>
        <v>0.212362364527967</v>
      </c>
      <c r="O13" s="2">
        <f t="shared" si="8"/>
        <v>0.28837230517228302</v>
      </c>
      <c r="P13" s="2">
        <f t="shared" si="9"/>
        <v>0.221821544933059</v>
      </c>
      <c r="Q13" s="2">
        <f t="shared" si="10"/>
        <v>0.28588824696229997</v>
      </c>
      <c r="R13" s="2">
        <f t="shared" si="11"/>
        <v>1.8006820942133599</v>
      </c>
      <c r="S13" s="2">
        <f t="shared" si="12"/>
        <v>0.24220138822595999</v>
      </c>
      <c r="T13" s="2">
        <f t="shared" si="13"/>
        <v>-0.64462613914743505</v>
      </c>
      <c r="U13" s="2">
        <f t="shared" si="14"/>
        <v>0.199099821028973</v>
      </c>
      <c r="V13" s="2">
        <f t="shared" si="15"/>
        <v>0.17989080258944301</v>
      </c>
      <c r="W13" s="2">
        <f t="shared" si="16"/>
        <v>0.123883835681</v>
      </c>
      <c r="X13" s="2">
        <f t="shared" si="17"/>
        <v>0.18819386974555399</v>
      </c>
      <c r="Y13" s="2">
        <f t="shared" si="18"/>
        <v>0.88650338237499104</v>
      </c>
      <c r="Z13" s="2">
        <f t="shared" si="19"/>
        <v>0.34189496392726698</v>
      </c>
      <c r="AA13" s="2">
        <f t="shared" si="20"/>
        <v>2.58391327376826</v>
      </c>
      <c r="AB13" s="2">
        <f t="shared" si="21"/>
        <v>0.2166647929695</v>
      </c>
      <c r="AC13" s="2">
        <f t="shared" si="22"/>
        <v>1.1984722189028001</v>
      </c>
      <c r="AD13" s="2">
        <f t="shared" si="23"/>
        <v>4.6138484666999997E-2</v>
      </c>
      <c r="AE13" s="2">
        <f t="shared" si="24"/>
        <v>9.0277337687649201E-2</v>
      </c>
      <c r="AF13" s="2">
        <f t="shared" si="25"/>
        <v>6.45388221203268E-2</v>
      </c>
      <c r="AG13" s="5">
        <f t="shared" si="26"/>
        <v>6.8449651426496699E-2</v>
      </c>
      <c r="AH13" s="2">
        <f t="shared" si="27"/>
        <v>18.104759473445299</v>
      </c>
      <c r="AI13" s="2">
        <f t="shared" si="28"/>
        <v>0.198472218902804</v>
      </c>
      <c r="AJ13" s="2">
        <f t="shared" si="29"/>
        <v>0.133856428786612</v>
      </c>
      <c r="AK13" s="2">
        <f t="shared" si="30"/>
        <v>7.4151433794817298E-2</v>
      </c>
      <c r="AL13" s="2">
        <f t="shared" si="31"/>
        <v>7.9753600181716205E-2</v>
      </c>
      <c r="AM13" s="2">
        <f t="shared" si="32"/>
        <v>1.8006820942133599</v>
      </c>
      <c r="AN13" s="2">
        <f t="shared" si="33"/>
        <v>7.7745351014E-2</v>
      </c>
      <c r="AO13" s="2">
        <f t="shared" si="34"/>
        <v>0.200793227836567</v>
      </c>
      <c r="AP13" s="2">
        <f t="shared" si="35"/>
        <v>1.50248129728187</v>
      </c>
      <c r="AQ13" s="2">
        <f t="shared" si="36"/>
        <v>9.6659390543999996E-2</v>
      </c>
      <c r="AR13" s="2">
        <f t="shared" si="37"/>
        <v>0.26246378225890099</v>
      </c>
      <c r="AS13" s="2">
        <f t="shared" si="38"/>
        <v>0.593456509813578</v>
      </c>
      <c r="AT13" s="2">
        <f t="shared" si="39"/>
        <v>0.20994317891639899</v>
      </c>
      <c r="AU13" s="2">
        <f t="shared" si="40"/>
        <v>0.35936629732710301</v>
      </c>
      <c r="AV13" s="2">
        <f t="shared" si="41"/>
        <v>0.23238717869193601</v>
      </c>
      <c r="AW13" s="2">
        <f t="shared" si="42"/>
        <v>0.41845543159533</v>
      </c>
      <c r="AX13" s="2">
        <f t="shared" si="43"/>
        <v>-5.0520905876999998E-2</v>
      </c>
      <c r="AY13" s="5">
        <f t="shared" si="44"/>
        <v>0.86754677195264696</v>
      </c>
      <c r="AZ13" s="2">
        <f t="shared" si="45"/>
        <v>6.9701921963199506E-2</v>
      </c>
      <c r="BA13" s="2">
        <f t="shared" si="46"/>
        <v>1.32698481653136</v>
      </c>
      <c r="BB13" s="2">
        <f t="shared" si="47"/>
        <v>2.10678348239259E-2</v>
      </c>
      <c r="BC13" s="2">
        <f t="shared" si="48"/>
        <v>0.65932447742530997</v>
      </c>
      <c r="BD13" s="2">
        <f t="shared" si="49"/>
        <v>4.93326527401209E-2</v>
      </c>
      <c r="BE13" s="2">
        <f t="shared" si="50"/>
        <v>-8.4349231328159996E-2</v>
      </c>
      <c r="BF13" s="2">
        <f t="shared" si="51"/>
        <v>0.261995020380352</v>
      </c>
    </row>
    <row r="14" spans="1:58" s="2" customFormat="1" x14ac:dyDescent="0.15">
      <c r="A14" s="3">
        <v>189.5</v>
      </c>
      <c r="B14" s="4">
        <v>5.3653039259600001E-2</v>
      </c>
      <c r="C14" s="4">
        <v>9.6677196170400007E-2</v>
      </c>
      <c r="D14" s="4">
        <v>9.4603834759299996E-2</v>
      </c>
      <c r="E14" s="4">
        <v>0.22058543443299999</v>
      </c>
      <c r="F14" s="4">
        <v>0.31184503298799998</v>
      </c>
      <c r="G14" s="2">
        <f t="shared" si="0"/>
        <v>3.2256317450327399</v>
      </c>
      <c r="H14" s="2">
        <f t="shared" si="1"/>
        <v>0.21516783681759999</v>
      </c>
      <c r="I14" s="2">
        <f t="shared" si="2"/>
        <v>0.52669798963172498</v>
      </c>
      <c r="J14" s="2">
        <f t="shared" si="3"/>
        <v>-0.44188225794195402</v>
      </c>
      <c r="K14" s="2">
        <f t="shared" si="4"/>
        <v>2.2256317450327399</v>
      </c>
      <c r="L14" s="2">
        <f t="shared" si="5"/>
        <v>1.08269837247928</v>
      </c>
      <c r="M14" s="2">
        <f t="shared" si="6"/>
        <v>0.35524915612177999</v>
      </c>
      <c r="N14" s="2">
        <f t="shared" si="7"/>
        <v>0.33355988378086998</v>
      </c>
      <c r="O14" s="2">
        <f t="shared" si="8"/>
        <v>0.43902362635476599</v>
      </c>
      <c r="P14" s="2">
        <f t="shared" si="9"/>
        <v>0.33664293707909099</v>
      </c>
      <c r="Q14" s="2">
        <f t="shared" si="10"/>
        <v>0.53448592299625897</v>
      </c>
      <c r="R14" s="2">
        <f t="shared" si="11"/>
        <v>3.2963255007730501</v>
      </c>
      <c r="S14" s="2">
        <f t="shared" si="12"/>
        <v>0.44487650041117599</v>
      </c>
      <c r="T14" s="2">
        <f t="shared" si="13"/>
        <v>-0.43311742024522898</v>
      </c>
      <c r="U14" s="2">
        <f t="shared" si="14"/>
        <v>0.35949275126006802</v>
      </c>
      <c r="V14" s="2">
        <f t="shared" si="15"/>
        <v>0.33791469936301799</v>
      </c>
      <c r="W14" s="2">
        <f t="shared" si="16"/>
        <v>0.2172411982287</v>
      </c>
      <c r="X14" s="2">
        <f t="shared" si="17"/>
        <v>0.34075264099941999</v>
      </c>
      <c r="Y14" s="2">
        <f t="shared" si="18"/>
        <v>1.01709681102453</v>
      </c>
      <c r="Z14" s="2">
        <f t="shared" si="19"/>
        <v>0.81557855813871205</v>
      </c>
      <c r="AA14" s="2">
        <f t="shared" si="20"/>
        <v>2.9214054678335999</v>
      </c>
      <c r="AB14" s="2">
        <f t="shared" si="21"/>
        <v>0.20322443387365</v>
      </c>
      <c r="AC14" s="2">
        <f t="shared" si="22"/>
        <v>1.4137154331589299</v>
      </c>
      <c r="AD14" s="2">
        <f t="shared" si="23"/>
        <v>9.1259598555000002E-2</v>
      </c>
      <c r="AE14" s="2">
        <f t="shared" si="24"/>
        <v>0.17140190905499</v>
      </c>
      <c r="AF14" s="2">
        <f t="shared" si="25"/>
        <v>0.125068259010506</v>
      </c>
      <c r="AG14" s="5">
        <f t="shared" si="26"/>
        <v>0.13258945967998001</v>
      </c>
      <c r="AH14" s="2">
        <f t="shared" si="27"/>
        <v>34.622129768698301</v>
      </c>
      <c r="AI14" s="2">
        <f t="shared" si="28"/>
        <v>0.413715433158933</v>
      </c>
      <c r="AJ14" s="2">
        <f t="shared" si="29"/>
        <v>0.26629234883667502</v>
      </c>
      <c r="AK14" s="2">
        <f t="shared" si="30"/>
        <v>0.15101723075974099</v>
      </c>
      <c r="AL14" s="2">
        <f t="shared" si="31"/>
        <v>0.15288341473200401</v>
      </c>
      <c r="AM14" s="2">
        <f t="shared" si="32"/>
        <v>3.2963255007730501</v>
      </c>
      <c r="AN14" s="2">
        <f t="shared" si="33"/>
        <v>0.12598159967370001</v>
      </c>
      <c r="AO14" s="2">
        <f t="shared" si="34"/>
        <v>0.39970142383507801</v>
      </c>
      <c r="AP14" s="2">
        <f t="shared" si="35"/>
        <v>2.3316754018929</v>
      </c>
      <c r="AQ14" s="2">
        <f t="shared" si="36"/>
        <v>0.1239082382626</v>
      </c>
      <c r="AR14" s="2">
        <f t="shared" si="37"/>
        <v>0.39055415391008902</v>
      </c>
      <c r="AS14" s="2">
        <f t="shared" si="38"/>
        <v>0.72438831378048796</v>
      </c>
      <c r="AT14" s="2">
        <f t="shared" si="39"/>
        <v>0.153673531202111</v>
      </c>
      <c r="AU14" s="2">
        <f t="shared" si="40"/>
        <v>0.35063224818108102</v>
      </c>
      <c r="AV14" s="2">
        <f t="shared" si="41"/>
        <v>0.150875054889895</v>
      </c>
      <c r="AW14" s="2">
        <f t="shared" si="42"/>
        <v>0.497333290864095</v>
      </c>
      <c r="AX14" s="2">
        <f t="shared" si="43"/>
        <v>-3.26486397076E-2</v>
      </c>
      <c r="AY14" s="5">
        <f t="shared" si="44"/>
        <v>1.00963601922</v>
      </c>
      <c r="AZ14" s="2">
        <f t="shared" si="45"/>
        <v>0.119432311197601</v>
      </c>
      <c r="BA14" s="2">
        <f t="shared" si="46"/>
        <v>0.83938092898026395</v>
      </c>
      <c r="BB14" s="2">
        <f t="shared" si="47"/>
        <v>6.8177884575399306E-2</v>
      </c>
      <c r="BC14" s="2">
        <f t="shared" si="48"/>
        <v>0.76515691578197298</v>
      </c>
      <c r="BD14" s="2">
        <f t="shared" si="49"/>
        <v>8.9508454872688603E-2</v>
      </c>
      <c r="BE14" s="2">
        <f t="shared" si="50"/>
        <v>-6.1883029770455997E-2</v>
      </c>
      <c r="BF14" s="2">
        <f t="shared" si="51"/>
        <v>0.325427308304018</v>
      </c>
    </row>
    <row r="15" spans="1:58" s="2" customFormat="1" x14ac:dyDescent="0.15">
      <c r="A15" s="3">
        <v>203.5</v>
      </c>
      <c r="B15" s="4">
        <v>3.8945545741200002E-2</v>
      </c>
      <c r="C15" s="4">
        <v>7.5504185753799996E-2</v>
      </c>
      <c r="D15" s="4">
        <v>6.3194947015500005E-2</v>
      </c>
      <c r="E15" s="4">
        <v>0.207596046343</v>
      </c>
      <c r="F15" s="4">
        <v>0.32041720659099998</v>
      </c>
      <c r="G15" s="2">
        <f t="shared" si="0"/>
        <v>4.2437012384425801</v>
      </c>
      <c r="H15" s="2">
        <f t="shared" si="1"/>
        <v>0.24491302083720001</v>
      </c>
      <c r="I15" s="2">
        <f t="shared" si="2"/>
        <v>0.61859001704032701</v>
      </c>
      <c r="J15" s="2">
        <f t="shared" si="3"/>
        <v>-0.32516664175101201</v>
      </c>
      <c r="K15" s="2">
        <f t="shared" si="4"/>
        <v>3.2437012384425801</v>
      </c>
      <c r="L15" s="2">
        <f t="shared" si="5"/>
        <v>1.41651727993764</v>
      </c>
      <c r="M15" s="2">
        <f t="shared" si="6"/>
        <v>0.41004661167239498</v>
      </c>
      <c r="N15" s="2">
        <f t="shared" si="7"/>
        <v>0.392330356528796</v>
      </c>
      <c r="O15" s="2">
        <f t="shared" si="8"/>
        <v>0.51104186326210799</v>
      </c>
      <c r="P15" s="2">
        <f t="shared" si="9"/>
        <v>0.389230972217116</v>
      </c>
      <c r="Q15" s="2">
        <f t="shared" si="10"/>
        <v>0.67052687762169405</v>
      </c>
      <c r="R15" s="2">
        <f t="shared" si="11"/>
        <v>5.0702978912603598</v>
      </c>
      <c r="S15" s="2">
        <f t="shared" si="12"/>
        <v>0.54887996732237199</v>
      </c>
      <c r="T15" s="2">
        <f t="shared" si="13"/>
        <v>-0.243444137442828</v>
      </c>
      <c r="U15" s="2">
        <f t="shared" si="14"/>
        <v>0.43665468813263197</v>
      </c>
      <c r="V15" s="2">
        <f t="shared" si="15"/>
        <v>0.42212099305190598</v>
      </c>
      <c r="W15" s="2">
        <f t="shared" si="16"/>
        <v>0.25722225957549999</v>
      </c>
      <c r="X15" s="2">
        <f t="shared" si="17"/>
        <v>0.415300419657814</v>
      </c>
      <c r="Y15" s="2">
        <f t="shared" si="18"/>
        <v>1.08190890449321</v>
      </c>
      <c r="Z15" s="2">
        <f t="shared" si="19"/>
        <v>1.2517321979445899</v>
      </c>
      <c r="AA15" s="2">
        <f t="shared" si="20"/>
        <v>3.1155166850407401</v>
      </c>
      <c r="AB15" s="2">
        <f t="shared" si="21"/>
        <v>0.19180607680324999</v>
      </c>
      <c r="AC15" s="2">
        <f t="shared" si="22"/>
        <v>1.5434648791990599</v>
      </c>
      <c r="AD15" s="2">
        <f t="shared" si="23"/>
        <v>0.112821160248</v>
      </c>
      <c r="AE15" s="2">
        <f t="shared" si="24"/>
        <v>0.21367107666538501</v>
      </c>
      <c r="AF15" s="2">
        <f t="shared" si="25"/>
        <v>0.15526306315678601</v>
      </c>
      <c r="AG15" s="5">
        <f t="shared" si="26"/>
        <v>0.164620193260159</v>
      </c>
      <c r="AH15" s="2">
        <f t="shared" si="27"/>
        <v>43.402981069994098</v>
      </c>
      <c r="AI15" s="2">
        <f t="shared" si="28"/>
        <v>0.54346487919905495</v>
      </c>
      <c r="AJ15" s="2">
        <f t="shared" si="29"/>
        <v>0.34076784746845701</v>
      </c>
      <c r="AK15" s="2">
        <f t="shared" si="30"/>
        <v>0.19152264902794</v>
      </c>
      <c r="AL15" s="2">
        <f t="shared" si="31"/>
        <v>0.19021805950623799</v>
      </c>
      <c r="AM15" s="2">
        <f t="shared" si="32"/>
        <v>5.0702978912603598</v>
      </c>
      <c r="AN15" s="2">
        <f t="shared" si="33"/>
        <v>0.1444010993275</v>
      </c>
      <c r="AO15" s="2">
        <f t="shared" si="34"/>
        <v>0.53325665501853503</v>
      </c>
      <c r="AP15" s="2">
        <f t="shared" si="35"/>
        <v>3.2850102127956902</v>
      </c>
      <c r="AQ15" s="2">
        <f t="shared" si="36"/>
        <v>0.1320918605892</v>
      </c>
      <c r="AR15" s="2">
        <f t="shared" si="37"/>
        <v>0.46659043551767199</v>
      </c>
      <c r="AS15" s="2">
        <f t="shared" si="38"/>
        <v>0.78130402589334103</v>
      </c>
      <c r="AT15" s="2">
        <f t="shared" si="39"/>
        <v>0.125106883270789</v>
      </c>
      <c r="AU15" s="2">
        <f t="shared" si="40"/>
        <v>0.34397688125527298</v>
      </c>
      <c r="AV15" s="2">
        <f t="shared" si="41"/>
        <v>0.106891188283414</v>
      </c>
      <c r="AW15" s="2">
        <f t="shared" si="42"/>
        <v>0.54197016654770602</v>
      </c>
      <c r="AX15" s="2">
        <f t="shared" si="43"/>
        <v>-1.9270700341200001E-2</v>
      </c>
      <c r="AY15" s="5">
        <f t="shared" si="44"/>
        <v>1.0502596337925301</v>
      </c>
      <c r="AZ15" s="2">
        <f t="shared" si="45"/>
        <v>0.141046754590089</v>
      </c>
      <c r="BA15" s="2">
        <f t="shared" si="46"/>
        <v>0.69980402046095402</v>
      </c>
      <c r="BB15" s="2">
        <f t="shared" si="47"/>
        <v>9.8532569249123694E-2</v>
      </c>
      <c r="BC15" s="2">
        <f t="shared" si="48"/>
        <v>0.79828711451129997</v>
      </c>
      <c r="BD15" s="2">
        <f t="shared" si="49"/>
        <v>0.100255366462196</v>
      </c>
      <c r="BE15" s="2">
        <f t="shared" si="50"/>
        <v>-4.3600831762032E-2</v>
      </c>
      <c r="BF15" s="2">
        <f t="shared" si="51"/>
        <v>0.34541630284902403</v>
      </c>
    </row>
    <row r="16" spans="1:58" s="2" customFormat="1" x14ac:dyDescent="0.15">
      <c r="A16" s="3">
        <v>189.5</v>
      </c>
      <c r="B16" s="4">
        <v>5.0882840846399997E-2</v>
      </c>
      <c r="C16" s="4">
        <v>9.31016267018E-2</v>
      </c>
      <c r="D16" s="4">
        <v>8.8857369098800001E-2</v>
      </c>
      <c r="E16" s="4">
        <v>0.218297789273</v>
      </c>
      <c r="F16" s="4">
        <v>0.31408605580799998</v>
      </c>
      <c r="G16" s="2">
        <f t="shared" si="0"/>
        <v>3.3735829000496702</v>
      </c>
      <c r="H16" s="2">
        <f t="shared" si="1"/>
        <v>0.2209844291062</v>
      </c>
      <c r="I16" s="2">
        <f t="shared" si="2"/>
        <v>0.54270902239505103</v>
      </c>
      <c r="J16" s="2">
        <f t="shared" si="3"/>
        <v>-0.42365985494460401</v>
      </c>
      <c r="K16" s="2">
        <f t="shared" si="4"/>
        <v>2.3735829000496702</v>
      </c>
      <c r="L16" s="2">
        <f t="shared" si="5"/>
        <v>1.1349735042103699</v>
      </c>
      <c r="M16" s="2">
        <f t="shared" si="6"/>
        <v>0.36538926845021302</v>
      </c>
      <c r="N16" s="2">
        <f t="shared" si="7"/>
        <v>0.34422730251226102</v>
      </c>
      <c r="O16" s="2">
        <f t="shared" si="8"/>
        <v>0.45195258230729102</v>
      </c>
      <c r="P16" s="2">
        <f t="shared" si="9"/>
        <v>0.34630946202024898</v>
      </c>
      <c r="Q16" s="2">
        <f t="shared" si="10"/>
        <v>0.558958585218992</v>
      </c>
      <c r="R16" s="2">
        <f t="shared" si="11"/>
        <v>3.5347215317479099</v>
      </c>
      <c r="S16" s="2">
        <f t="shared" si="12"/>
        <v>0.46410574317645997</v>
      </c>
      <c r="T16" s="2">
        <f t="shared" si="13"/>
        <v>-0.404330099256966</v>
      </c>
      <c r="U16" s="2">
        <f t="shared" si="14"/>
        <v>0.37415747293211798</v>
      </c>
      <c r="V16" s="2">
        <f t="shared" si="15"/>
        <v>0.35334889337954301</v>
      </c>
      <c r="W16" s="2">
        <f t="shared" si="16"/>
        <v>0.22522868670919999</v>
      </c>
      <c r="X16" s="2">
        <f t="shared" si="17"/>
        <v>0.35481475177013999</v>
      </c>
      <c r="Y16" s="2">
        <f t="shared" si="18"/>
        <v>1.02905713408877</v>
      </c>
      <c r="Z16" s="2">
        <f t="shared" si="19"/>
        <v>0.88008551181799</v>
      </c>
      <c r="AA16" s="2">
        <f t="shared" si="20"/>
        <v>2.9563343929417498</v>
      </c>
      <c r="AB16" s="2">
        <f t="shared" si="21"/>
        <v>0.20147171245340001</v>
      </c>
      <c r="AC16" s="2">
        <f t="shared" si="22"/>
        <v>1.4387963197153999</v>
      </c>
      <c r="AD16" s="2">
        <f t="shared" si="23"/>
        <v>9.5788266535E-2</v>
      </c>
      <c r="AE16" s="2">
        <f t="shared" si="24"/>
        <v>0.17992331551763399</v>
      </c>
      <c r="AF16" s="2">
        <f t="shared" si="25"/>
        <v>0.131280396490352</v>
      </c>
      <c r="AG16" s="5">
        <f t="shared" si="26"/>
        <v>0.13917536630111299</v>
      </c>
      <c r="AH16" s="2">
        <f t="shared" si="27"/>
        <v>36.380687495129401</v>
      </c>
      <c r="AI16" s="2">
        <f t="shared" si="28"/>
        <v>0.43879631971539801</v>
      </c>
      <c r="AJ16" s="2">
        <f t="shared" si="29"/>
        <v>0.28097987237546102</v>
      </c>
      <c r="AK16" s="2">
        <f t="shared" si="30"/>
        <v>0.15912669148383299</v>
      </c>
      <c r="AL16" s="2">
        <f t="shared" si="31"/>
        <v>0.16048090949840299</v>
      </c>
      <c r="AM16" s="2">
        <f t="shared" si="32"/>
        <v>3.5347215317479099</v>
      </c>
      <c r="AN16" s="2">
        <f t="shared" si="33"/>
        <v>0.12944042017419999</v>
      </c>
      <c r="AO16" s="2">
        <f t="shared" si="34"/>
        <v>0.42141704817966003</v>
      </c>
      <c r="AP16" s="2">
        <f t="shared" si="35"/>
        <v>2.4567212768844899</v>
      </c>
      <c r="AQ16" s="2">
        <f t="shared" si="36"/>
        <v>0.1251961625712</v>
      </c>
      <c r="AR16" s="2">
        <f t="shared" si="37"/>
        <v>0.40204366530132302</v>
      </c>
      <c r="AS16" s="2">
        <f t="shared" si="38"/>
        <v>0.74001819838106797</v>
      </c>
      <c r="AT16" s="2">
        <f t="shared" si="39"/>
        <v>0.148846985104923</v>
      </c>
      <c r="AU16" s="2">
        <f t="shared" si="40"/>
        <v>0.34900537122116199</v>
      </c>
      <c r="AV16" s="2">
        <f t="shared" si="41"/>
        <v>0.14303199316245399</v>
      </c>
      <c r="AW16" s="2">
        <f t="shared" si="42"/>
        <v>0.50557826596014799</v>
      </c>
      <c r="AX16" s="2">
        <f t="shared" si="43"/>
        <v>-2.9407896036200001E-2</v>
      </c>
      <c r="AY16" s="5">
        <f t="shared" si="44"/>
        <v>1.01920613873188</v>
      </c>
      <c r="AZ16" s="2">
        <f t="shared" si="45"/>
        <v>0.12436090008751099</v>
      </c>
      <c r="BA16" s="2">
        <f t="shared" si="46"/>
        <v>0.81457923037286595</v>
      </c>
      <c r="BB16" s="2">
        <f t="shared" si="47"/>
        <v>7.4229488699993795E-2</v>
      </c>
      <c r="BC16" s="2">
        <f t="shared" si="48"/>
        <v>0.77318683288378198</v>
      </c>
      <c r="BD16" s="2">
        <f t="shared" si="49"/>
        <v>9.2929876286082305E-2</v>
      </c>
      <c r="BE16" s="2">
        <f t="shared" si="50"/>
        <v>-5.7370909800672103E-2</v>
      </c>
      <c r="BF16" s="2">
        <f t="shared" si="51"/>
        <v>0.33152814508888601</v>
      </c>
    </row>
    <row r="17" spans="1:58" s="2" customFormat="1" x14ac:dyDescent="0.15">
      <c r="A17" s="3">
        <v>178</v>
      </c>
      <c r="B17" s="4">
        <v>4.8156080826899997E-2</v>
      </c>
      <c r="C17" s="4">
        <v>8.7575630711700006E-2</v>
      </c>
      <c r="D17" s="4">
        <v>8.3256369393599997E-2</v>
      </c>
      <c r="E17" s="4">
        <v>0.20259900511500001</v>
      </c>
      <c r="F17" s="4">
        <v>0.28672243550400001</v>
      </c>
      <c r="G17" s="2">
        <f t="shared" si="0"/>
        <v>3.2739979509584498</v>
      </c>
      <c r="H17" s="2">
        <f t="shared" si="1"/>
        <v>0.19914680479229999</v>
      </c>
      <c r="I17" s="2">
        <f t="shared" si="2"/>
        <v>0.53205405736062705</v>
      </c>
      <c r="J17" s="2">
        <f t="shared" si="3"/>
        <v>-0.435874126313745</v>
      </c>
      <c r="K17" s="2">
        <f t="shared" si="4"/>
        <v>2.2739979509584498</v>
      </c>
      <c r="L17" s="2">
        <f t="shared" si="5"/>
        <v>1.0999499244225599</v>
      </c>
      <c r="M17" s="2">
        <f t="shared" si="6"/>
        <v>0.34166861249210601</v>
      </c>
      <c r="N17" s="2">
        <f t="shared" si="7"/>
        <v>0.31700062321427303</v>
      </c>
      <c r="O17" s="2">
        <f t="shared" si="8"/>
        <v>0.43236221159334598</v>
      </c>
      <c r="P17" s="2">
        <f t="shared" si="9"/>
        <v>0.325510161899975</v>
      </c>
      <c r="Q17" s="2">
        <f t="shared" si="10"/>
        <v>0.54993978956906397</v>
      </c>
      <c r="R17" s="2">
        <f t="shared" si="11"/>
        <v>3.44384985307852</v>
      </c>
      <c r="S17" s="2">
        <f t="shared" si="12"/>
        <v>0.44533976549055898</v>
      </c>
      <c r="T17" s="2">
        <f t="shared" si="13"/>
        <v>-0.41516578309626301</v>
      </c>
      <c r="U17" s="2">
        <f t="shared" si="14"/>
        <v>0.35081210880939001</v>
      </c>
      <c r="V17" s="2">
        <f t="shared" si="15"/>
        <v>0.326287794860461</v>
      </c>
      <c r="W17" s="2">
        <f t="shared" si="16"/>
        <v>0.2034660661104</v>
      </c>
      <c r="X17" s="2">
        <f t="shared" si="17"/>
        <v>0.33450573325609601</v>
      </c>
      <c r="Y17" s="2">
        <f t="shared" si="18"/>
        <v>1.02466569649279</v>
      </c>
      <c r="Z17" s="2">
        <f t="shared" si="19"/>
        <v>0.85576125972025696</v>
      </c>
      <c r="AA17" s="2">
        <f t="shared" si="20"/>
        <v>2.9426824222754102</v>
      </c>
      <c r="AB17" s="2">
        <f t="shared" si="21"/>
        <v>0.18498940244879999</v>
      </c>
      <c r="AC17" s="2">
        <f t="shared" si="22"/>
        <v>1.41522134001225</v>
      </c>
      <c r="AD17" s="2">
        <f t="shared" si="23"/>
        <v>8.4123430388999998E-2</v>
      </c>
      <c r="AE17" s="2">
        <f t="shared" si="24"/>
        <v>0.171918545573197</v>
      </c>
      <c r="AF17" s="2">
        <f t="shared" si="25"/>
        <v>0.12025962664629</v>
      </c>
      <c r="AG17" s="5">
        <f t="shared" si="26"/>
        <v>0.12754716556486301</v>
      </c>
      <c r="AH17" s="2">
        <f t="shared" si="27"/>
        <v>34.7285942899166</v>
      </c>
      <c r="AI17" s="2">
        <f t="shared" si="28"/>
        <v>0.41522134001225502</v>
      </c>
      <c r="AJ17" s="2">
        <f t="shared" si="29"/>
        <v>0.267178309123066</v>
      </c>
      <c r="AK17" s="2">
        <f t="shared" si="30"/>
        <v>0.14504393080973099</v>
      </c>
      <c r="AL17" s="2">
        <f t="shared" si="31"/>
        <v>0.150284856077159</v>
      </c>
      <c r="AM17" s="2">
        <f t="shared" si="32"/>
        <v>3.44384985307852</v>
      </c>
      <c r="AN17" s="2">
        <f t="shared" si="33"/>
        <v>0.1193426357214</v>
      </c>
      <c r="AO17" s="2">
        <f t="shared" si="34"/>
        <v>0.41749306245004503</v>
      </c>
      <c r="AP17" s="2">
        <f t="shared" si="35"/>
        <v>2.4334355027805699</v>
      </c>
      <c r="AQ17" s="2">
        <f t="shared" si="36"/>
        <v>0.1150233744033</v>
      </c>
      <c r="AR17" s="2">
        <f t="shared" si="37"/>
        <v>0.39639362026112801</v>
      </c>
      <c r="AS17" s="2">
        <f t="shared" si="38"/>
        <v>0.70488999912304895</v>
      </c>
      <c r="AT17" s="2">
        <f t="shared" si="39"/>
        <v>0.151804602699219</v>
      </c>
      <c r="AU17" s="2">
        <f t="shared" si="40"/>
        <v>0.35118743911747502</v>
      </c>
      <c r="AV17" s="2">
        <f t="shared" si="41"/>
        <v>0.14540621019135899</v>
      </c>
      <c r="AW17" s="2">
        <f t="shared" si="42"/>
        <v>0.50075715560421497</v>
      </c>
      <c r="AX17" s="2">
        <f t="shared" si="43"/>
        <v>-3.0899944014300001E-2</v>
      </c>
      <c r="AY17" s="5">
        <f t="shared" si="44"/>
        <v>1.02168883062224</v>
      </c>
      <c r="AZ17" s="2">
        <f t="shared" si="45"/>
        <v>0.11395755245323801</v>
      </c>
      <c r="BA17" s="2">
        <f t="shared" si="46"/>
        <v>0.82526830673823304</v>
      </c>
      <c r="BB17" s="2">
        <f t="shared" si="47"/>
        <v>6.2685912294084697E-2</v>
      </c>
      <c r="BC17" s="2">
        <f t="shared" si="48"/>
        <v>0.70222707715346899</v>
      </c>
      <c r="BD17" s="2">
        <f t="shared" si="49"/>
        <v>7.9600579930330595E-2</v>
      </c>
      <c r="BE17" s="2">
        <f t="shared" si="50"/>
        <v>-5.8298724308987998E-2</v>
      </c>
      <c r="BF17" s="2">
        <f t="shared" si="51"/>
        <v>0.32312232788156398</v>
      </c>
    </row>
    <row r="18" spans="1:58" s="2" customFormat="1" x14ac:dyDescent="0.15">
      <c r="A18" s="3">
        <v>170</v>
      </c>
      <c r="B18" s="4">
        <v>4.3231264354600001E-2</v>
      </c>
      <c r="C18" s="4">
        <v>8.0558965771899999E-2</v>
      </c>
      <c r="D18" s="4">
        <v>7.4390184061600001E-2</v>
      </c>
      <c r="E18" s="4">
        <v>0.19855088396000001</v>
      </c>
      <c r="F18" s="4">
        <v>0.289359554149</v>
      </c>
      <c r="G18" s="2">
        <f t="shared" si="0"/>
        <v>3.59189757932484</v>
      </c>
      <c r="H18" s="2">
        <f t="shared" si="1"/>
        <v>0.2088005883771</v>
      </c>
      <c r="I18" s="2">
        <f t="shared" si="2"/>
        <v>0.56445021574412702</v>
      </c>
      <c r="J18" s="2">
        <f t="shared" si="3"/>
        <v>-0.397596976422121</v>
      </c>
      <c r="K18" s="2">
        <f t="shared" si="4"/>
        <v>2.59189757932484</v>
      </c>
      <c r="L18" s="2">
        <f t="shared" si="5"/>
        <v>1.20954419011319</v>
      </c>
      <c r="M18" s="2">
        <f t="shared" si="6"/>
        <v>0.36003473359105898</v>
      </c>
      <c r="N18" s="2">
        <f t="shared" si="7"/>
        <v>0.33605245187493699</v>
      </c>
      <c r="O18" s="2">
        <f t="shared" si="8"/>
        <v>0.457067781955592</v>
      </c>
      <c r="P18" s="2">
        <f t="shared" si="9"/>
        <v>0.34330385543561098</v>
      </c>
      <c r="Q18" s="2">
        <f t="shared" si="10"/>
        <v>0.59098151147792499</v>
      </c>
      <c r="R18" s="2">
        <f t="shared" si="11"/>
        <v>3.8897545126302</v>
      </c>
      <c r="S18" s="2">
        <f t="shared" si="12"/>
        <v>0.47611378318458403</v>
      </c>
      <c r="T18" s="2">
        <f t="shared" si="13"/>
        <v>-0.36353979262045</v>
      </c>
      <c r="U18" s="2">
        <f t="shared" si="14"/>
        <v>0.37331884557107597</v>
      </c>
      <c r="V18" s="2">
        <f t="shared" si="15"/>
        <v>0.34987148201107698</v>
      </c>
      <c r="W18" s="2">
        <f t="shared" si="16"/>
        <v>0.2149693700874</v>
      </c>
      <c r="X18" s="2">
        <f t="shared" si="17"/>
        <v>0.35643081131645898</v>
      </c>
      <c r="Y18" s="2">
        <f t="shared" si="18"/>
        <v>1.04450060386671</v>
      </c>
      <c r="Z18" s="2">
        <f t="shared" si="19"/>
        <v>0.97224605783107199</v>
      </c>
      <c r="AA18" s="2">
        <f t="shared" si="20"/>
        <v>2.99663690806711</v>
      </c>
      <c r="AB18" s="2">
        <f t="shared" si="21"/>
        <v>0.18187486910530001</v>
      </c>
      <c r="AC18" s="2">
        <f t="shared" si="22"/>
        <v>1.4573571689929801</v>
      </c>
      <c r="AD18" s="2">
        <f t="shared" si="23"/>
        <v>9.0808670189000004E-2</v>
      </c>
      <c r="AE18" s="2">
        <f t="shared" si="24"/>
        <v>0.18611749841005301</v>
      </c>
      <c r="AF18" s="2">
        <f t="shared" si="25"/>
        <v>0.13000416350840499</v>
      </c>
      <c r="AG18" s="5">
        <f t="shared" si="26"/>
        <v>0.137879913025548</v>
      </c>
      <c r="AH18" s="2">
        <f t="shared" si="27"/>
        <v>37.662463718007601</v>
      </c>
      <c r="AI18" s="2">
        <f t="shared" si="28"/>
        <v>0.45735716899298401</v>
      </c>
      <c r="AJ18" s="2">
        <f t="shared" si="29"/>
        <v>0.29175704305616701</v>
      </c>
      <c r="AK18" s="2">
        <f t="shared" si="30"/>
        <v>0.15769961975987101</v>
      </c>
      <c r="AL18" s="2">
        <f t="shared" si="31"/>
        <v>0.16258120138746501</v>
      </c>
      <c r="AM18" s="2">
        <f t="shared" si="32"/>
        <v>3.8897545126302</v>
      </c>
      <c r="AN18" s="2">
        <f t="shared" si="33"/>
        <v>0.12416069989840001</v>
      </c>
      <c r="AO18" s="2">
        <f t="shared" si="34"/>
        <v>0.454899296754324</v>
      </c>
      <c r="AP18" s="2">
        <f t="shared" si="35"/>
        <v>2.66904681665509</v>
      </c>
      <c r="AQ18" s="2">
        <f t="shared" si="36"/>
        <v>0.1179919181881</v>
      </c>
      <c r="AR18" s="2">
        <f t="shared" si="37"/>
        <v>0.42274365559451799</v>
      </c>
      <c r="AS18" s="2">
        <f t="shared" si="38"/>
        <v>0.73138014092468995</v>
      </c>
      <c r="AT18" s="2">
        <f t="shared" si="39"/>
        <v>0.141712052085705</v>
      </c>
      <c r="AU18" s="2">
        <f t="shared" si="40"/>
        <v>0.34927277106649401</v>
      </c>
      <c r="AV18" s="2">
        <f t="shared" si="41"/>
        <v>0.13229610839560901</v>
      </c>
      <c r="AW18" s="2">
        <f t="shared" si="42"/>
        <v>0.51459938463523403</v>
      </c>
      <c r="AX18" s="2">
        <f t="shared" si="43"/>
        <v>-2.7183247999100001E-2</v>
      </c>
      <c r="AY18" s="5">
        <f t="shared" si="44"/>
        <v>1.0295438904566601</v>
      </c>
      <c r="AZ18" s="2">
        <f t="shared" si="45"/>
        <v>0.120983207377372</v>
      </c>
      <c r="BA18" s="2">
        <f t="shared" si="46"/>
        <v>0.77090691087354202</v>
      </c>
      <c r="BB18" s="2">
        <f t="shared" si="47"/>
        <v>7.1481259634394598E-2</v>
      </c>
      <c r="BC18" s="2">
        <f t="shared" si="48"/>
        <v>0.71237199914488303</v>
      </c>
      <c r="BD18" s="2">
        <f t="shared" si="49"/>
        <v>8.4453719000533001E-2</v>
      </c>
      <c r="BE18" s="2">
        <f t="shared" si="50"/>
        <v>-5.3302907301276001E-2</v>
      </c>
      <c r="BF18" s="2">
        <f t="shared" si="51"/>
        <v>0.32973235410086599</v>
      </c>
    </row>
    <row r="19" spans="1:58" s="2" customFormat="1" x14ac:dyDescent="0.15">
      <c r="A19" s="3">
        <v>182</v>
      </c>
      <c r="B19" s="4">
        <v>5.2451062034199997E-2</v>
      </c>
      <c r="C19" s="4">
        <v>9.6858124764300002E-2</v>
      </c>
      <c r="D19" s="4">
        <v>9.1191587751400002E-2</v>
      </c>
      <c r="E19" s="4">
        <v>0.22104482549500001</v>
      </c>
      <c r="F19" s="4">
        <v>0.30936179006999998</v>
      </c>
      <c r="G19" s="2">
        <f t="shared" si="0"/>
        <v>3.19396840298961</v>
      </c>
      <c r="H19" s="2">
        <f t="shared" si="1"/>
        <v>0.2125036653057</v>
      </c>
      <c r="I19" s="2">
        <f t="shared" si="2"/>
        <v>0.52312468578105498</v>
      </c>
      <c r="J19" s="2">
        <f t="shared" si="3"/>
        <v>-0.44584283884487902</v>
      </c>
      <c r="K19" s="2">
        <f t="shared" si="4"/>
        <v>2.19396840298961</v>
      </c>
      <c r="L19" s="2">
        <f t="shared" si="5"/>
        <v>1.07131649451855</v>
      </c>
      <c r="M19" s="2">
        <f t="shared" si="6"/>
        <v>0.35174188156837599</v>
      </c>
      <c r="N19" s="2">
        <f t="shared" si="7"/>
        <v>0.32971694582176397</v>
      </c>
      <c r="O19" s="2">
        <f t="shared" si="8"/>
        <v>0.43535072733489</v>
      </c>
      <c r="P19" s="2">
        <f t="shared" si="9"/>
        <v>0.33341552624370502</v>
      </c>
      <c r="Q19" s="2">
        <f t="shared" si="10"/>
        <v>0.54467198230913005</v>
      </c>
      <c r="R19" s="2">
        <f t="shared" si="11"/>
        <v>3.3924378081162501</v>
      </c>
      <c r="S19" s="2">
        <f t="shared" si="12"/>
        <v>0.45147785153514802</v>
      </c>
      <c r="T19" s="2">
        <f t="shared" si="13"/>
        <v>-0.421370625915719</v>
      </c>
      <c r="U19" s="2">
        <f t="shared" si="14"/>
        <v>0.363393566153279</v>
      </c>
      <c r="V19" s="2">
        <f t="shared" si="15"/>
        <v>0.34168016482894498</v>
      </c>
      <c r="W19" s="2">
        <f t="shared" si="16"/>
        <v>0.21817020231859999</v>
      </c>
      <c r="X19" s="2">
        <f t="shared" si="17"/>
        <v>0.34471901104762998</v>
      </c>
      <c r="Y19" s="2">
        <f t="shared" si="18"/>
        <v>1.02209196372397</v>
      </c>
      <c r="Z19" s="2">
        <f t="shared" si="19"/>
        <v>0.841857162788757</v>
      </c>
      <c r="AA19" s="2">
        <f t="shared" si="20"/>
        <v>2.9356920466491401</v>
      </c>
      <c r="AB19" s="2">
        <f t="shared" si="21"/>
        <v>0.2002766889107</v>
      </c>
      <c r="AC19" s="2">
        <f t="shared" si="22"/>
        <v>1.3995432346232299</v>
      </c>
      <c r="AD19" s="2">
        <f t="shared" si="23"/>
        <v>8.8316964575000004E-2</v>
      </c>
      <c r="AE19" s="2">
        <f t="shared" si="24"/>
        <v>0.16650803738736</v>
      </c>
      <c r="AF19" s="2">
        <f t="shared" si="25"/>
        <v>0.121266171867476</v>
      </c>
      <c r="AG19" s="5">
        <f t="shared" si="26"/>
        <v>0.12856618432118699</v>
      </c>
      <c r="AH19" s="2">
        <f t="shared" si="27"/>
        <v>33.614592240311303</v>
      </c>
      <c r="AI19" s="2">
        <f t="shared" si="28"/>
        <v>0.39954323462323099</v>
      </c>
      <c r="AJ19" s="2">
        <f t="shared" si="29"/>
        <v>0.25792859447628402</v>
      </c>
      <c r="AK19" s="2">
        <f t="shared" si="30"/>
        <v>0.147104491665982</v>
      </c>
      <c r="AL19" s="2">
        <f t="shared" si="31"/>
        <v>0.14838745254948199</v>
      </c>
      <c r="AM19" s="2">
        <f t="shared" si="32"/>
        <v>3.3924378081162501</v>
      </c>
      <c r="AN19" s="2">
        <f t="shared" si="33"/>
        <v>0.1298532377436</v>
      </c>
      <c r="AO19" s="2">
        <f t="shared" si="34"/>
        <v>0.41588114721625002</v>
      </c>
      <c r="AP19" s="2">
        <f t="shared" si="35"/>
        <v>2.4239607067440998</v>
      </c>
      <c r="AQ19" s="2">
        <f t="shared" si="36"/>
        <v>0.1241867007307</v>
      </c>
      <c r="AR19" s="2">
        <f t="shared" si="37"/>
        <v>0.39064343576996102</v>
      </c>
      <c r="AS19" s="2">
        <f t="shared" si="38"/>
        <v>0.68012909119282094</v>
      </c>
      <c r="AT19" s="2">
        <f t="shared" si="39"/>
        <v>0.154413469364549</v>
      </c>
      <c r="AU19" s="2">
        <f t="shared" si="40"/>
        <v>0.35239478848907801</v>
      </c>
      <c r="AV19" s="2">
        <f t="shared" si="41"/>
        <v>0.146705037538505</v>
      </c>
      <c r="AW19" s="2">
        <f t="shared" si="42"/>
        <v>0.497687715986739</v>
      </c>
      <c r="AX19" s="2">
        <f t="shared" si="43"/>
        <v>-3.5869736155700001E-2</v>
      </c>
      <c r="AY19" s="5">
        <f t="shared" si="44"/>
        <v>1.0266655965898199</v>
      </c>
      <c r="AZ19" s="2">
        <f t="shared" si="45"/>
        <v>0.115646874060406</v>
      </c>
      <c r="BA19" s="2">
        <f t="shared" si="46"/>
        <v>0.83766345150817001</v>
      </c>
      <c r="BB19" s="2">
        <f t="shared" si="47"/>
        <v>6.4121796851154406E-2</v>
      </c>
      <c r="BC19" s="2">
        <f t="shared" si="48"/>
        <v>0.75753874550523104</v>
      </c>
      <c r="BD19" s="2">
        <f t="shared" si="49"/>
        <v>8.1747715334172993E-2</v>
      </c>
      <c r="BE19" s="2">
        <f t="shared" si="50"/>
        <v>-6.6554824151892095E-2</v>
      </c>
      <c r="BF19" s="2">
        <f t="shared" si="51"/>
        <v>0.31829512526015402</v>
      </c>
    </row>
    <row r="20" spans="1:58" s="2" customFormat="1" x14ac:dyDescent="0.15">
      <c r="A20" s="3">
        <v>171.5</v>
      </c>
      <c r="B20" s="4">
        <v>7.2683807136300002E-2</v>
      </c>
      <c r="C20" s="4">
        <v>0.125894115793</v>
      </c>
      <c r="D20" s="4">
        <v>0.14645803672300001</v>
      </c>
      <c r="E20" s="4">
        <v>0.22620401386700001</v>
      </c>
      <c r="F20" s="4">
        <v>0.27728022880999997</v>
      </c>
      <c r="G20" s="2">
        <f t="shared" si="0"/>
        <v>2.2024875989114099</v>
      </c>
      <c r="H20" s="2">
        <f t="shared" si="1"/>
        <v>0.151386113017</v>
      </c>
      <c r="I20" s="2">
        <f t="shared" si="2"/>
        <v>0.37548548176116597</v>
      </c>
      <c r="J20" s="2">
        <f t="shared" si="3"/>
        <v>-0.58190489130833101</v>
      </c>
      <c r="K20" s="2">
        <f t="shared" si="4"/>
        <v>1.2024875989114101</v>
      </c>
      <c r="L20" s="2">
        <f t="shared" si="5"/>
        <v>0.67194987565225395</v>
      </c>
      <c r="M20" s="2">
        <f t="shared" si="6"/>
        <v>0.25142340555002701</v>
      </c>
      <c r="N20" s="2">
        <f t="shared" si="7"/>
        <v>0.22828812680403701</v>
      </c>
      <c r="O20" s="2">
        <f t="shared" si="8"/>
        <v>0.311817988128546</v>
      </c>
      <c r="P20" s="2">
        <f t="shared" si="9"/>
        <v>0.23841830378169099</v>
      </c>
      <c r="Q20" s="2">
        <f t="shared" si="10"/>
        <v>0.30873348651305998</v>
      </c>
      <c r="R20" s="2">
        <f t="shared" si="11"/>
        <v>1.89324010490751</v>
      </c>
      <c r="S20" s="2">
        <f t="shared" si="12"/>
        <v>0.25996881099161201</v>
      </c>
      <c r="T20" s="2">
        <f t="shared" si="13"/>
        <v>-0.62974106305676103</v>
      </c>
      <c r="U20" s="2">
        <f t="shared" si="14"/>
        <v>0.21243386298095199</v>
      </c>
      <c r="V20" s="2">
        <f t="shared" si="15"/>
        <v>0.19202800119789901</v>
      </c>
      <c r="W20" s="2">
        <f t="shared" si="16"/>
        <v>0.13082219208699999</v>
      </c>
      <c r="X20" s="2">
        <f t="shared" si="17"/>
        <v>0.200970623416212</v>
      </c>
      <c r="Y20" s="2">
        <f t="shared" si="18"/>
        <v>0.899296106136939</v>
      </c>
      <c r="Z20" s="2">
        <f t="shared" si="19"/>
        <v>0.37595061862971901</v>
      </c>
      <c r="AA20" s="2">
        <f t="shared" si="20"/>
        <v>2.6179247751407302</v>
      </c>
      <c r="AB20" s="2">
        <f t="shared" si="21"/>
        <v>0.21186913276649999</v>
      </c>
      <c r="AC20" s="2">
        <f t="shared" si="22"/>
        <v>1.2257971203509701</v>
      </c>
      <c r="AD20" s="2">
        <f t="shared" si="23"/>
        <v>5.1076214942999999E-2</v>
      </c>
      <c r="AE20" s="2">
        <f t="shared" si="24"/>
        <v>0.10144550834685601</v>
      </c>
      <c r="AF20" s="2">
        <f t="shared" si="25"/>
        <v>7.1982307474308602E-2</v>
      </c>
      <c r="AG20" s="5">
        <f t="shared" si="26"/>
        <v>7.6348306387069395E-2</v>
      </c>
      <c r="AH20" s="2">
        <f t="shared" si="27"/>
        <v>20.359134286700598</v>
      </c>
      <c r="AI20" s="2">
        <f t="shared" si="28"/>
        <v>0.22579712035097199</v>
      </c>
      <c r="AJ20" s="2">
        <f t="shared" si="29"/>
        <v>0.15134762521183001</v>
      </c>
      <c r="AK20" s="2">
        <f t="shared" si="30"/>
        <v>8.2939426971008104E-2</v>
      </c>
      <c r="AL20" s="2">
        <f t="shared" si="31"/>
        <v>8.9298894416582994E-2</v>
      </c>
      <c r="AM20" s="2">
        <f t="shared" si="32"/>
        <v>1.89324010490751</v>
      </c>
      <c r="AN20" s="2">
        <f t="shared" si="33"/>
        <v>7.9745977144000002E-2</v>
      </c>
      <c r="AO20" s="2">
        <f t="shared" si="34"/>
        <v>0.213990066919199</v>
      </c>
      <c r="AP20" s="2">
        <f t="shared" si="35"/>
        <v>1.5444971059855599</v>
      </c>
      <c r="AQ20" s="2">
        <f t="shared" si="36"/>
        <v>0.100309898074</v>
      </c>
      <c r="AR20" s="2">
        <f t="shared" si="37"/>
        <v>0.28489187991672399</v>
      </c>
      <c r="AS20" s="2">
        <f t="shared" si="38"/>
        <v>0.64048641413936103</v>
      </c>
      <c r="AT20" s="2">
        <f t="shared" si="39"/>
        <v>0.200029305264078</v>
      </c>
      <c r="AU20" s="2">
        <f t="shared" si="40"/>
        <v>0.35940863047292398</v>
      </c>
      <c r="AV20" s="2">
        <f t="shared" si="41"/>
        <v>0.22534006690287001</v>
      </c>
      <c r="AW20" s="2">
        <f t="shared" si="42"/>
        <v>0.42662285190305499</v>
      </c>
      <c r="AX20" s="2">
        <f t="shared" si="43"/>
        <v>-4.9233683131000003E-2</v>
      </c>
      <c r="AY20" s="5">
        <f t="shared" si="44"/>
        <v>0.86416243524469905</v>
      </c>
      <c r="AZ20" s="2">
        <f t="shared" si="45"/>
        <v>7.5543190519791401E-2</v>
      </c>
      <c r="BA20" s="2">
        <f t="shared" si="46"/>
        <v>1.20329458228681</v>
      </c>
      <c r="BB20" s="2">
        <f t="shared" si="47"/>
        <v>2.5495344916083601E-2</v>
      </c>
      <c r="BC20" s="2">
        <f t="shared" si="48"/>
        <v>0.65955936630140599</v>
      </c>
      <c r="BD20" s="2">
        <f t="shared" si="49"/>
        <v>5.7011765026052097E-2</v>
      </c>
      <c r="BE20" s="2">
        <f t="shared" si="50"/>
        <v>-8.2933691477520097E-2</v>
      </c>
      <c r="BF20" s="2">
        <f t="shared" si="51"/>
        <v>0.27017158658448998</v>
      </c>
    </row>
    <row r="21" spans="1:58" s="2" customFormat="1" x14ac:dyDescent="0.15">
      <c r="A21" s="3">
        <v>171.5</v>
      </c>
      <c r="B21" s="4">
        <v>6.2784279155399997E-2</v>
      </c>
      <c r="C21" s="4">
        <v>0.11201694885000001</v>
      </c>
      <c r="D21" s="4">
        <v>0.126510433665</v>
      </c>
      <c r="E21" s="4">
        <v>0.21865094661000001</v>
      </c>
      <c r="F21" s="4">
        <v>0.27749718526200001</v>
      </c>
      <c r="G21" s="2">
        <f t="shared" si="0"/>
        <v>2.47727855570849</v>
      </c>
      <c r="H21" s="2">
        <f t="shared" si="1"/>
        <v>0.16548023641199999</v>
      </c>
      <c r="I21" s="2">
        <f t="shared" si="2"/>
        <v>0.42483756536654499</v>
      </c>
      <c r="J21" s="2">
        <f t="shared" si="3"/>
        <v>-0.54169503426173604</v>
      </c>
      <c r="K21" s="2">
        <f t="shared" si="4"/>
        <v>1.47727855570849</v>
      </c>
      <c r="L21" s="2">
        <f t="shared" si="5"/>
        <v>0.79221425446365301</v>
      </c>
      <c r="M21" s="2">
        <f t="shared" si="6"/>
        <v>0.27905161379565702</v>
      </c>
      <c r="N21" s="2">
        <f t="shared" si="7"/>
        <v>0.25448533045722299</v>
      </c>
      <c r="O21" s="2">
        <f t="shared" si="8"/>
        <v>0.34932145020822303</v>
      </c>
      <c r="P21" s="2">
        <f t="shared" si="9"/>
        <v>0.26514565950351598</v>
      </c>
      <c r="Q21" s="2">
        <f t="shared" si="10"/>
        <v>0.37372253522843002</v>
      </c>
      <c r="R21" s="2">
        <f t="shared" si="11"/>
        <v>2.19347272175838</v>
      </c>
      <c r="S21" s="2">
        <f t="shared" si="12"/>
        <v>0.31053593245021199</v>
      </c>
      <c r="T21" s="2">
        <f t="shared" si="13"/>
        <v>-0.58325959264777805</v>
      </c>
      <c r="U21" s="2">
        <f t="shared" si="14"/>
        <v>0.25052900291295999</v>
      </c>
      <c r="V21" s="2">
        <f t="shared" si="15"/>
        <v>0.22747139505182001</v>
      </c>
      <c r="W21" s="2">
        <f t="shared" si="16"/>
        <v>0.15098675159700001</v>
      </c>
      <c r="X21" s="2">
        <f t="shared" si="17"/>
        <v>0.23754399927747299</v>
      </c>
      <c r="Y21" s="2">
        <f t="shared" si="18"/>
        <v>0.93473126364128301</v>
      </c>
      <c r="Z21" s="2">
        <f t="shared" si="19"/>
        <v>0.48103771787161997</v>
      </c>
      <c r="AA21" s="2">
        <f t="shared" si="20"/>
        <v>2.7088092533266002</v>
      </c>
      <c r="AB21" s="2">
        <f t="shared" si="21"/>
        <v>0.20200380946349999</v>
      </c>
      <c r="AC21" s="2">
        <f t="shared" si="22"/>
        <v>1.26913324439872</v>
      </c>
      <c r="AD21" s="2">
        <f t="shared" si="23"/>
        <v>5.8846238651999998E-2</v>
      </c>
      <c r="AE21" s="2">
        <f t="shared" si="24"/>
        <v>0.118606188095417</v>
      </c>
      <c r="AF21" s="2">
        <f t="shared" si="25"/>
        <v>8.3543569772106904E-2</v>
      </c>
      <c r="AG21" s="5">
        <f t="shared" si="26"/>
        <v>8.8610674611335996E-2</v>
      </c>
      <c r="AH21" s="2">
        <f t="shared" si="27"/>
        <v>23.833418274636202</v>
      </c>
      <c r="AI21" s="2">
        <f t="shared" si="28"/>
        <v>0.269133244398717</v>
      </c>
      <c r="AJ21" s="2">
        <f t="shared" si="29"/>
        <v>0.17866412121039901</v>
      </c>
      <c r="AK21" s="2">
        <f t="shared" si="30"/>
        <v>9.7642272177716996E-2</v>
      </c>
      <c r="AL21" s="2">
        <f t="shared" si="31"/>
        <v>0.104033881254174</v>
      </c>
      <c r="AM21" s="2">
        <f t="shared" si="32"/>
        <v>2.19347272175838</v>
      </c>
      <c r="AN21" s="2">
        <f t="shared" si="33"/>
        <v>9.2140512945000003E-2</v>
      </c>
      <c r="AO21" s="2">
        <f t="shared" si="34"/>
        <v>0.266949080084188</v>
      </c>
      <c r="AP21" s="2">
        <f t="shared" si="35"/>
        <v>1.7283234297416801</v>
      </c>
      <c r="AQ21" s="2">
        <f t="shared" si="36"/>
        <v>0.10663399776</v>
      </c>
      <c r="AR21" s="2">
        <f t="shared" si="37"/>
        <v>0.32248064969131301</v>
      </c>
      <c r="AS21" s="2">
        <f t="shared" si="38"/>
        <v>0.63865759774016195</v>
      </c>
      <c r="AT21" s="2">
        <f t="shared" si="39"/>
        <v>0.184188392922882</v>
      </c>
      <c r="AU21" s="2">
        <f t="shared" si="40"/>
        <v>0.35952565107885298</v>
      </c>
      <c r="AV21" s="2">
        <f t="shared" si="41"/>
        <v>0.20317785808646699</v>
      </c>
      <c r="AW21" s="2">
        <f t="shared" si="42"/>
        <v>0.44566508937796101</v>
      </c>
      <c r="AX21" s="2">
        <f t="shared" si="43"/>
        <v>-4.7787759107999997E-2</v>
      </c>
      <c r="AY21" s="5">
        <f t="shared" si="44"/>
        <v>0.91241561452139097</v>
      </c>
      <c r="AZ21" s="2">
        <f t="shared" si="45"/>
        <v>8.4100861029027904E-2</v>
      </c>
      <c r="BA21" s="2">
        <f t="shared" si="46"/>
        <v>1.03956390672748</v>
      </c>
      <c r="BB21" s="2">
        <f t="shared" si="47"/>
        <v>3.2680423916788298E-2</v>
      </c>
      <c r="BC21" s="2">
        <f t="shared" si="48"/>
        <v>0.66511262495555801</v>
      </c>
      <c r="BD21" s="2">
        <f t="shared" si="49"/>
        <v>6.1565332406685699E-2</v>
      </c>
      <c r="BE21" s="2">
        <f t="shared" si="50"/>
        <v>-8.161045284672E-2</v>
      </c>
      <c r="BF21" s="2">
        <f t="shared" si="51"/>
        <v>0.27918008614206402</v>
      </c>
    </row>
    <row r="22" spans="1:58" s="2" customFormat="1" x14ac:dyDescent="0.15">
      <c r="A22" s="3">
        <v>181.5</v>
      </c>
      <c r="B22" s="4">
        <v>5.8095196335600001E-2</v>
      </c>
      <c r="C22" s="4">
        <v>0.10314493277</v>
      </c>
      <c r="D22" s="4">
        <v>0.111728983106</v>
      </c>
      <c r="E22" s="4">
        <v>0.203870467094</v>
      </c>
      <c r="F22" s="4">
        <v>0.26301562025800002</v>
      </c>
      <c r="G22" s="2">
        <f t="shared" si="0"/>
        <v>2.54996162384914</v>
      </c>
      <c r="H22" s="2">
        <f t="shared" si="1"/>
        <v>0.15987068748800001</v>
      </c>
      <c r="I22" s="2">
        <f t="shared" si="2"/>
        <v>0.43661362799988701</v>
      </c>
      <c r="J22" s="2">
        <f t="shared" si="3"/>
        <v>-0.531398968073306</v>
      </c>
      <c r="K22" s="2">
        <f t="shared" si="4"/>
        <v>1.54996162384914</v>
      </c>
      <c r="L22" s="2">
        <f t="shared" si="5"/>
        <v>0.82263866177646305</v>
      </c>
      <c r="M22" s="2">
        <f t="shared" si="6"/>
        <v>0.27686094730782301</v>
      </c>
      <c r="N22" s="2">
        <f t="shared" si="7"/>
        <v>0.250715452600697</v>
      </c>
      <c r="O22" s="2">
        <f t="shared" si="8"/>
        <v>0.35245895272618599</v>
      </c>
      <c r="P22" s="2">
        <f t="shared" si="9"/>
        <v>0.26420015305629901</v>
      </c>
      <c r="Q22" s="2">
        <f t="shared" si="10"/>
        <v>0.40370597946957198</v>
      </c>
      <c r="R22" s="2">
        <f t="shared" si="11"/>
        <v>2.3540500678187599</v>
      </c>
      <c r="S22" s="2">
        <f t="shared" si="12"/>
        <v>0.32818002835806498</v>
      </c>
      <c r="T22" s="2">
        <f t="shared" si="13"/>
        <v>-0.55947120460467603</v>
      </c>
      <c r="U22" s="2">
        <f t="shared" si="14"/>
        <v>0.25942424206482301</v>
      </c>
      <c r="V22" s="2">
        <f t="shared" si="15"/>
        <v>0.23422495992661699</v>
      </c>
      <c r="W22" s="2">
        <f t="shared" si="16"/>
        <v>0.151286637152</v>
      </c>
      <c r="X22" s="2">
        <f t="shared" si="17"/>
        <v>0.24713421461243701</v>
      </c>
      <c r="Y22" s="2">
        <f t="shared" si="18"/>
        <v>0.95063451413756905</v>
      </c>
      <c r="Z22" s="2">
        <f t="shared" si="19"/>
        <v>0.53429138947553101</v>
      </c>
      <c r="AA22" s="2">
        <f t="shared" si="20"/>
        <v>2.7598842334115701</v>
      </c>
      <c r="AB22" s="2">
        <f t="shared" si="21"/>
        <v>0.187372301682</v>
      </c>
      <c r="AC22" s="2">
        <f t="shared" si="22"/>
        <v>1.29011143206303</v>
      </c>
      <c r="AD22" s="2">
        <f t="shared" si="23"/>
        <v>5.9145153164E-2</v>
      </c>
      <c r="AE22" s="2">
        <f t="shared" si="24"/>
        <v>0.126680050586748</v>
      </c>
      <c r="AF22" s="2">
        <f t="shared" si="25"/>
        <v>8.6559291787632206E-2</v>
      </c>
      <c r="AG22" s="5">
        <f t="shared" si="26"/>
        <v>9.1756134364256198E-2</v>
      </c>
      <c r="AH22" s="2">
        <f t="shared" si="27"/>
        <v>25.472859608713101</v>
      </c>
      <c r="AI22" s="2">
        <f t="shared" si="28"/>
        <v>0.29011143206303402</v>
      </c>
      <c r="AJ22" s="2">
        <f t="shared" si="29"/>
        <v>0.19170636632501001</v>
      </c>
      <c r="AK22" s="2">
        <f t="shared" si="30"/>
        <v>0.101421294175258</v>
      </c>
      <c r="AL22" s="2">
        <f t="shared" si="31"/>
        <v>0.109443133376983</v>
      </c>
      <c r="AM22" s="2">
        <f t="shared" si="32"/>
        <v>2.3540500678187599</v>
      </c>
      <c r="AN22" s="2">
        <f t="shared" si="33"/>
        <v>9.2141483987999998E-2</v>
      </c>
      <c r="AO22" s="2">
        <f t="shared" si="34"/>
        <v>0.29195704849805199</v>
      </c>
      <c r="AP22" s="2">
        <f t="shared" si="35"/>
        <v>1.8246873946805999</v>
      </c>
      <c r="AQ22" s="2">
        <f t="shared" si="36"/>
        <v>0.100725534324</v>
      </c>
      <c r="AR22" s="2">
        <f t="shared" si="37"/>
        <v>0.32807974573463999</v>
      </c>
      <c r="AS22" s="2">
        <f t="shared" si="38"/>
        <v>0.64189494898630794</v>
      </c>
      <c r="AT22" s="2">
        <f t="shared" si="39"/>
        <v>0.180946175083462</v>
      </c>
      <c r="AU22" s="2">
        <f t="shared" si="40"/>
        <v>0.35764802247142102</v>
      </c>
      <c r="AV22" s="2">
        <f t="shared" si="41"/>
        <v>0.19309725724489199</v>
      </c>
      <c r="AW22" s="2">
        <f t="shared" si="42"/>
        <v>0.45456061151295502</v>
      </c>
      <c r="AX22" s="2">
        <f t="shared" si="43"/>
        <v>-4.1580381159999999E-2</v>
      </c>
      <c r="AY22" s="5">
        <f t="shared" si="44"/>
        <v>0.94630628997173505</v>
      </c>
      <c r="AZ22" s="2">
        <f t="shared" si="45"/>
        <v>8.6335655098801506E-2</v>
      </c>
      <c r="BA22" s="2">
        <f t="shared" si="46"/>
        <v>1.01856817745996</v>
      </c>
      <c r="BB22" s="2">
        <f t="shared" si="47"/>
        <v>3.50536379319865E-2</v>
      </c>
      <c r="BC22" s="2">
        <f t="shared" si="48"/>
        <v>0.63195450725346503</v>
      </c>
      <c r="BD22" s="2">
        <f t="shared" si="49"/>
        <v>6.03294874270996E-2</v>
      </c>
      <c r="BE22" s="2">
        <f t="shared" si="50"/>
        <v>-7.1962812989280006E-2</v>
      </c>
      <c r="BF22" s="2">
        <f t="shared" si="51"/>
        <v>0.29014222750459001</v>
      </c>
    </row>
    <row r="23" spans="1:58" s="2" customFormat="1" x14ac:dyDescent="0.15">
      <c r="A23" s="3">
        <v>202</v>
      </c>
      <c r="B23" s="4">
        <v>5.4370285381500003E-2</v>
      </c>
      <c r="C23" s="4">
        <v>0.100617406383</v>
      </c>
      <c r="D23" s="4">
        <v>9.5608138611099999E-2</v>
      </c>
      <c r="E23" s="4">
        <v>0.225583133795</v>
      </c>
      <c r="F23" s="4">
        <v>0.31369720861</v>
      </c>
      <c r="G23" s="2">
        <f t="shared" si="0"/>
        <v>3.1177230648930898</v>
      </c>
      <c r="H23" s="2">
        <f t="shared" si="1"/>
        <v>0.21307980222699999</v>
      </c>
      <c r="I23" s="2">
        <f t="shared" si="2"/>
        <v>0.514294679734144</v>
      </c>
      <c r="J23" s="2">
        <f t="shared" si="3"/>
        <v>-0.45546979135026</v>
      </c>
      <c r="K23" s="2">
        <f t="shared" si="4"/>
        <v>2.1177230648930898</v>
      </c>
      <c r="L23" s="2">
        <f t="shared" si="5"/>
        <v>1.0436156885677801</v>
      </c>
      <c r="M23" s="2">
        <f t="shared" si="6"/>
        <v>0.34957300047418299</v>
      </c>
      <c r="N23" s="2">
        <f t="shared" si="7"/>
        <v>0.327957007632455</v>
      </c>
      <c r="O23" s="2">
        <f t="shared" si="8"/>
        <v>0.430378339904048</v>
      </c>
      <c r="P23" s="2">
        <f t="shared" si="9"/>
        <v>0.331037473172071</v>
      </c>
      <c r="Q23" s="2">
        <f t="shared" si="10"/>
        <v>0.532827317013017</v>
      </c>
      <c r="R23" s="2">
        <f t="shared" si="11"/>
        <v>3.2810722305347801</v>
      </c>
      <c r="S23" s="2">
        <f t="shared" si="12"/>
        <v>0.44437193930039298</v>
      </c>
      <c r="T23" s="2">
        <f t="shared" si="13"/>
        <v>-0.43499954216476699</v>
      </c>
      <c r="U23" s="2">
        <f t="shared" si="14"/>
        <v>0.35976210411397302</v>
      </c>
      <c r="V23" s="2">
        <f t="shared" si="15"/>
        <v>0.338381516357045</v>
      </c>
      <c r="W23" s="2">
        <f t="shared" si="16"/>
        <v>0.21808906999889999</v>
      </c>
      <c r="X23" s="2">
        <f t="shared" si="17"/>
        <v>0.340886805314283</v>
      </c>
      <c r="Y23" s="2">
        <f t="shared" si="18"/>
        <v>1.0162811210550999</v>
      </c>
      <c r="Z23" s="2">
        <f t="shared" si="19"/>
        <v>0.81137302357487295</v>
      </c>
      <c r="AA23" s="2">
        <f t="shared" si="20"/>
        <v>2.9191071364045702</v>
      </c>
      <c r="AB23" s="2">
        <f t="shared" si="21"/>
        <v>0.20465267361055001</v>
      </c>
      <c r="AC23" s="2">
        <f t="shared" si="22"/>
        <v>1.3906057750535299</v>
      </c>
      <c r="AD23" s="2">
        <f t="shared" si="23"/>
        <v>8.8114074814999999E-2</v>
      </c>
      <c r="AE23" s="2">
        <f t="shared" si="24"/>
        <v>0.163391964969541</v>
      </c>
      <c r="AF23" s="2">
        <f t="shared" si="25"/>
        <v>0.119988048677758</v>
      </c>
      <c r="AG23" s="5">
        <f t="shared" si="26"/>
        <v>0.12717561068906799</v>
      </c>
      <c r="AH23" s="2">
        <f t="shared" si="27"/>
        <v>32.973946159629797</v>
      </c>
      <c r="AI23" s="2">
        <f t="shared" si="28"/>
        <v>0.390605775053529</v>
      </c>
      <c r="AJ23" s="2">
        <f t="shared" si="29"/>
        <v>0.25262985792349801</v>
      </c>
      <c r="AK23" s="2">
        <f t="shared" si="30"/>
        <v>0.145353937075619</v>
      </c>
      <c r="AL23" s="2">
        <f t="shared" si="31"/>
        <v>0.14616788230291999</v>
      </c>
      <c r="AM23" s="2">
        <f t="shared" si="32"/>
        <v>3.2810722305347801</v>
      </c>
      <c r="AN23" s="2">
        <f t="shared" si="33"/>
        <v>0.12997499518389999</v>
      </c>
      <c r="AO23" s="2">
        <f t="shared" si="34"/>
        <v>0.404665401429605</v>
      </c>
      <c r="AP23" s="2">
        <f t="shared" si="35"/>
        <v>2.3594553462921399</v>
      </c>
      <c r="AQ23" s="2">
        <f t="shared" si="36"/>
        <v>0.124965727412</v>
      </c>
      <c r="AR23" s="2">
        <f t="shared" si="37"/>
        <v>0.38309478992220303</v>
      </c>
      <c r="AS23" s="2">
        <f t="shared" si="38"/>
        <v>0.67793097195601704</v>
      </c>
      <c r="AT23" s="2">
        <f t="shared" si="39"/>
        <v>0.15723981928921399</v>
      </c>
      <c r="AU23" s="2">
        <f t="shared" si="40"/>
        <v>0.35252996939318199</v>
      </c>
      <c r="AV23" s="2">
        <f t="shared" si="41"/>
        <v>0.15059044457395901</v>
      </c>
      <c r="AW23" s="2">
        <f t="shared" si="42"/>
        <v>0.494098125875503</v>
      </c>
      <c r="AX23" s="2">
        <f t="shared" si="43"/>
        <v>-3.6851652596999997E-2</v>
      </c>
      <c r="AY23" s="5">
        <f t="shared" si="44"/>
        <v>1.0235088812714599</v>
      </c>
      <c r="AZ23" s="2">
        <f t="shared" si="45"/>
        <v>0.11517785468818099</v>
      </c>
      <c r="BA23" s="2">
        <f t="shared" si="46"/>
        <v>0.85594649895236496</v>
      </c>
      <c r="BB23" s="2">
        <f t="shared" si="47"/>
        <v>6.3269940596411695E-2</v>
      </c>
      <c r="BC23" s="2">
        <f t="shared" si="48"/>
        <v>0.76750369632575099</v>
      </c>
      <c r="BD23" s="2">
        <f t="shared" si="49"/>
        <v>8.2376672315085706E-2</v>
      </c>
      <c r="BE23" s="2">
        <f t="shared" si="50"/>
        <v>-6.8062267029119994E-2</v>
      </c>
      <c r="BF23" s="2">
        <f t="shared" si="51"/>
        <v>0.31770106012763799</v>
      </c>
    </row>
    <row r="24" spans="1:58" s="2" customFormat="1" x14ac:dyDescent="0.15">
      <c r="A24" s="3">
        <v>217</v>
      </c>
      <c r="B24" s="4">
        <v>4.7103894268199997E-2</v>
      </c>
      <c r="C24" s="4">
        <v>8.4606074396299996E-2</v>
      </c>
      <c r="D24" s="4">
        <v>7.3130700088100006E-2</v>
      </c>
      <c r="E24" s="4">
        <v>0.210969816092</v>
      </c>
      <c r="F24" s="4">
        <v>0.31695811212300001</v>
      </c>
      <c r="G24" s="2">
        <f t="shared" si="0"/>
        <v>3.7462808005764301</v>
      </c>
      <c r="H24" s="2">
        <f t="shared" si="1"/>
        <v>0.23235203772669999</v>
      </c>
      <c r="I24" s="2">
        <f t="shared" si="2"/>
        <v>0.57861743035576396</v>
      </c>
      <c r="J24" s="2">
        <f t="shared" si="3"/>
        <v>-0.37973502149213301</v>
      </c>
      <c r="K24" s="2">
        <f t="shared" si="4"/>
        <v>2.7462808005764301</v>
      </c>
      <c r="L24" s="2">
        <f t="shared" si="5"/>
        <v>1.26057365507332</v>
      </c>
      <c r="M24" s="2">
        <f t="shared" si="6"/>
        <v>0.38658152331408002</v>
      </c>
      <c r="N24" s="2">
        <f t="shared" si="7"/>
        <v>0.36671764136301099</v>
      </c>
      <c r="O24" s="2">
        <f t="shared" si="8"/>
        <v>0.47996002991851899</v>
      </c>
      <c r="P24" s="2">
        <f t="shared" si="9"/>
        <v>0.36666461379215298</v>
      </c>
      <c r="Q24" s="2">
        <f t="shared" si="10"/>
        <v>0.62505615234858503</v>
      </c>
      <c r="R24" s="2">
        <f t="shared" si="11"/>
        <v>4.33413206411484</v>
      </c>
      <c r="S24" s="2">
        <f t="shared" si="12"/>
        <v>0.51417115142480396</v>
      </c>
      <c r="T24" s="2">
        <f t="shared" si="13"/>
        <v>-0.31570650826676999</v>
      </c>
      <c r="U24" s="2">
        <f t="shared" si="14"/>
        <v>0.41090407275628998</v>
      </c>
      <c r="V24" s="2">
        <f t="shared" si="15"/>
        <v>0.392970219732455</v>
      </c>
      <c r="W24" s="2">
        <f t="shared" si="16"/>
        <v>0.24382741203489999</v>
      </c>
      <c r="X24" s="2">
        <f t="shared" si="17"/>
        <v>0.39039188516623602</v>
      </c>
      <c r="Y24" s="2">
        <f t="shared" si="18"/>
        <v>1.0606866419205001</v>
      </c>
      <c r="Z24" s="2">
        <f t="shared" si="19"/>
        <v>1.0818578395545699</v>
      </c>
      <c r="AA24" s="2">
        <f t="shared" si="20"/>
        <v>3.0502330387991199</v>
      </c>
      <c r="AB24" s="2">
        <f t="shared" si="21"/>
        <v>0.19504440610554999</v>
      </c>
      <c r="AC24" s="2">
        <f t="shared" si="22"/>
        <v>1.50238606637824</v>
      </c>
      <c r="AD24" s="2">
        <f t="shared" si="23"/>
        <v>0.105988296031</v>
      </c>
      <c r="AE24" s="2">
        <f t="shared" si="24"/>
        <v>0.200762813191872</v>
      </c>
      <c r="AF24" s="2">
        <f t="shared" si="25"/>
        <v>0.14587154786522399</v>
      </c>
      <c r="AG24" s="5">
        <f t="shared" si="26"/>
        <v>0.154663026154541</v>
      </c>
      <c r="AH24" s="2">
        <f t="shared" si="27"/>
        <v>40.705455518646801</v>
      </c>
      <c r="AI24" s="2">
        <f t="shared" si="28"/>
        <v>0.50238606637823702</v>
      </c>
      <c r="AJ24" s="2">
        <f t="shared" si="29"/>
        <v>0.317585327108312</v>
      </c>
      <c r="AK24" s="2">
        <f t="shared" si="30"/>
        <v>0.17861413587658301</v>
      </c>
      <c r="AL24" s="2">
        <f t="shared" si="31"/>
        <v>0.178719918691156</v>
      </c>
      <c r="AM24" s="2">
        <f t="shared" si="32"/>
        <v>4.33413206411484</v>
      </c>
      <c r="AN24" s="2">
        <f t="shared" si="33"/>
        <v>0.1378391160039</v>
      </c>
      <c r="AO24" s="2">
        <f t="shared" si="34"/>
        <v>0.48517728111595398</v>
      </c>
      <c r="AP24" s="2">
        <f t="shared" si="35"/>
        <v>2.8848324416127</v>
      </c>
      <c r="AQ24" s="2">
        <f t="shared" si="36"/>
        <v>0.1263637416957</v>
      </c>
      <c r="AR24" s="2">
        <f t="shared" si="37"/>
        <v>0.42751708025625301</v>
      </c>
      <c r="AS24" s="2">
        <f t="shared" si="38"/>
        <v>0.76892756645364202</v>
      </c>
      <c r="AT24" s="2">
        <f t="shared" si="39"/>
        <v>0.13812469844223299</v>
      </c>
      <c r="AU24" s="2">
        <f t="shared" si="40"/>
        <v>0.344421395698218</v>
      </c>
      <c r="AV24" s="2">
        <f t="shared" si="41"/>
        <v>0.12166982827375999</v>
      </c>
      <c r="AW24" s="2">
        <f t="shared" si="42"/>
        <v>0.52733310395665001</v>
      </c>
      <c r="AX24" s="2">
        <f t="shared" si="43"/>
        <v>-2.0375445664699999E-2</v>
      </c>
      <c r="AY24" s="5">
        <f t="shared" si="44"/>
        <v>1.0493878789291999</v>
      </c>
      <c r="AZ24" s="2">
        <f t="shared" si="45"/>
        <v>0.13600578102869801</v>
      </c>
      <c r="BA24" s="2">
        <f t="shared" si="46"/>
        <v>0.76718243414528497</v>
      </c>
      <c r="BB24" s="2">
        <f t="shared" si="47"/>
        <v>8.9418846361109305E-2</v>
      </c>
      <c r="BC24" s="2">
        <f t="shared" si="48"/>
        <v>0.78609839574351703</v>
      </c>
      <c r="BD24" s="2">
        <f t="shared" si="49"/>
        <v>9.8171144227620605E-2</v>
      </c>
      <c r="BE24" s="2">
        <f t="shared" si="50"/>
        <v>-4.4504290760651898E-2</v>
      </c>
      <c r="BF24" s="2">
        <f t="shared" si="51"/>
        <v>0.34696986758320197</v>
      </c>
    </row>
    <row r="25" spans="1:58" s="2" customFormat="1" x14ac:dyDescent="0.15">
      <c r="A25" s="3">
        <v>242</v>
      </c>
      <c r="B25" s="4">
        <v>4.6816205558799999E-2</v>
      </c>
      <c r="C25" s="4">
        <v>8.8047319290200002E-2</v>
      </c>
      <c r="D25" s="4">
        <v>8.1078952956399997E-2</v>
      </c>
      <c r="E25" s="4">
        <v>0.21495358834799999</v>
      </c>
      <c r="F25" s="4">
        <v>0.31184008220300002</v>
      </c>
      <c r="G25" s="2">
        <f t="shared" si="0"/>
        <v>3.5417328399878798</v>
      </c>
      <c r="H25" s="2">
        <f t="shared" si="1"/>
        <v>0.22379276291280001</v>
      </c>
      <c r="I25" s="2">
        <f t="shared" si="2"/>
        <v>0.55963944369626695</v>
      </c>
      <c r="J25" s="2">
        <f t="shared" si="3"/>
        <v>-0.40350095093451899</v>
      </c>
      <c r="K25" s="2">
        <f t="shared" si="4"/>
        <v>2.5417328399878798</v>
      </c>
      <c r="L25" s="2">
        <f t="shared" si="5"/>
        <v>1.19266673995519</v>
      </c>
      <c r="M25" s="2">
        <f t="shared" si="6"/>
        <v>0.373034608343427</v>
      </c>
      <c r="N25" s="2">
        <f t="shared" si="7"/>
        <v>0.35195010270162702</v>
      </c>
      <c r="O25" s="2">
        <f t="shared" si="8"/>
        <v>0.46366395151329498</v>
      </c>
      <c r="P25" s="2">
        <f t="shared" si="9"/>
        <v>0.35389724121525701</v>
      </c>
      <c r="Q25" s="2">
        <f t="shared" si="10"/>
        <v>0.58729943982730304</v>
      </c>
      <c r="R25" s="2">
        <f t="shared" si="11"/>
        <v>3.8461286293459098</v>
      </c>
      <c r="S25" s="2">
        <f t="shared" si="12"/>
        <v>0.48412677608193799</v>
      </c>
      <c r="T25" s="2">
        <f t="shared" si="13"/>
        <v>-0.368423885861074</v>
      </c>
      <c r="U25" s="2">
        <f t="shared" si="14"/>
        <v>0.387651825350669</v>
      </c>
      <c r="V25" s="2">
        <f t="shared" si="15"/>
        <v>0.36736054321591299</v>
      </c>
      <c r="W25" s="2">
        <f t="shared" si="16"/>
        <v>0.2307611292466</v>
      </c>
      <c r="X25" s="2">
        <f t="shared" si="17"/>
        <v>0.36813840052410202</v>
      </c>
      <c r="Y25" s="2">
        <f t="shared" si="18"/>
        <v>1.0427365150541601</v>
      </c>
      <c r="Z25" s="2">
        <f t="shared" si="19"/>
        <v>0.961154922321515</v>
      </c>
      <c r="AA25" s="2">
        <f t="shared" si="20"/>
        <v>2.9957958879793098</v>
      </c>
      <c r="AB25" s="2">
        <f t="shared" si="21"/>
        <v>0.19645951757970001</v>
      </c>
      <c r="AC25" s="2">
        <f t="shared" si="22"/>
        <v>1.45073215385521</v>
      </c>
      <c r="AD25" s="2">
        <f t="shared" si="23"/>
        <v>9.6886493855000005E-2</v>
      </c>
      <c r="AE25" s="2">
        <f t="shared" si="24"/>
        <v>0.183917346147423</v>
      </c>
      <c r="AF25" s="2">
        <f t="shared" si="25"/>
        <v>0.133488227298666</v>
      </c>
      <c r="AG25" s="5">
        <f t="shared" si="26"/>
        <v>0.14153743342078901</v>
      </c>
      <c r="AH25" s="2">
        <f t="shared" si="27"/>
        <v>37.206836268960998</v>
      </c>
      <c r="AI25" s="2">
        <f t="shared" si="28"/>
        <v>0.45073215385520898</v>
      </c>
      <c r="AJ25" s="2">
        <f t="shared" si="29"/>
        <v>0.28791919276137601</v>
      </c>
      <c r="AK25" s="2">
        <f t="shared" si="30"/>
        <v>0.16275802739109099</v>
      </c>
      <c r="AL25" s="2">
        <f t="shared" si="31"/>
        <v>0.163642062661459</v>
      </c>
      <c r="AM25" s="2">
        <f t="shared" si="32"/>
        <v>3.8461286293459098</v>
      </c>
      <c r="AN25" s="2">
        <f t="shared" si="33"/>
        <v>0.13387463539159999</v>
      </c>
      <c r="AO25" s="2">
        <f t="shared" si="34"/>
        <v>0.452229456943186</v>
      </c>
      <c r="AP25" s="2">
        <f t="shared" si="35"/>
        <v>2.6511638410475098</v>
      </c>
      <c r="AQ25" s="2">
        <f t="shared" si="36"/>
        <v>0.1269062690578</v>
      </c>
      <c r="AR25" s="2">
        <f t="shared" si="37"/>
        <v>0.41883131653629602</v>
      </c>
      <c r="AS25" s="2">
        <f t="shared" si="38"/>
        <v>0.72371060859732705</v>
      </c>
      <c r="AT25" s="2">
        <f t="shared" si="39"/>
        <v>0.14320339851274499</v>
      </c>
      <c r="AU25" s="2">
        <f t="shared" si="40"/>
        <v>0.349608422176794</v>
      </c>
      <c r="AV25" s="2">
        <f t="shared" si="41"/>
        <v>0.13338148457579399</v>
      </c>
      <c r="AW25" s="2">
        <f t="shared" si="42"/>
        <v>0.51300234645162301</v>
      </c>
      <c r="AX25" s="2">
        <f t="shared" si="43"/>
        <v>-3.0019775202800001E-2</v>
      </c>
      <c r="AY25" s="5">
        <f t="shared" si="44"/>
        <v>1.03113758569805</v>
      </c>
      <c r="AZ25" s="2">
        <f t="shared" si="45"/>
        <v>0.124776116031142</v>
      </c>
      <c r="BA25" s="2">
        <f t="shared" si="46"/>
        <v>0.77839146262110204</v>
      </c>
      <c r="BB25" s="2">
        <f t="shared" si="47"/>
        <v>7.5623680518204797E-2</v>
      </c>
      <c r="BC25" s="2">
        <f t="shared" si="48"/>
        <v>0.76860775383972502</v>
      </c>
      <c r="BD25" s="2">
        <f t="shared" si="49"/>
        <v>8.97959275302119E-2</v>
      </c>
      <c r="BE25" s="2">
        <f t="shared" si="50"/>
        <v>-5.8457228578967999E-2</v>
      </c>
      <c r="BF25" s="2">
        <f t="shared" si="51"/>
        <v>0.328635424502425</v>
      </c>
    </row>
    <row r="26" spans="1:58" s="2" customFormat="1" x14ac:dyDescent="0.15">
      <c r="A26" s="3">
        <v>232</v>
      </c>
      <c r="B26" s="4">
        <v>4.2439919079099997E-2</v>
      </c>
      <c r="C26" s="4">
        <v>7.9664758353499995E-2</v>
      </c>
      <c r="D26" s="4">
        <v>7.0249944113700002E-2</v>
      </c>
      <c r="E26" s="4">
        <v>0.207341247487</v>
      </c>
      <c r="F26" s="4">
        <v>0.31332498561599997</v>
      </c>
      <c r="G26" s="2">
        <f t="shared" si="0"/>
        <v>3.9330438212800298</v>
      </c>
      <c r="H26" s="2">
        <f t="shared" si="1"/>
        <v>0.23366022726249999</v>
      </c>
      <c r="I26" s="2">
        <f t="shared" si="2"/>
        <v>0.594570802032519</v>
      </c>
      <c r="J26" s="2">
        <f t="shared" si="3"/>
        <v>-0.35872772022164301</v>
      </c>
      <c r="K26" s="2">
        <f t="shared" si="4"/>
        <v>2.9330438212800298</v>
      </c>
      <c r="L26" s="2">
        <f t="shared" si="5"/>
        <v>1.3205688990791</v>
      </c>
      <c r="M26" s="2">
        <f t="shared" si="6"/>
        <v>0.39249089170471002</v>
      </c>
      <c r="N26" s="2">
        <f t="shared" si="7"/>
        <v>0.372669703448332</v>
      </c>
      <c r="O26" s="2">
        <f t="shared" si="8"/>
        <v>0.49014627591257698</v>
      </c>
      <c r="P26" s="2">
        <f t="shared" si="9"/>
        <v>0.37272986025614502</v>
      </c>
      <c r="Q26" s="2">
        <f t="shared" si="10"/>
        <v>0.633709407634101</v>
      </c>
      <c r="R26" s="2">
        <f t="shared" si="11"/>
        <v>4.4601456921998599</v>
      </c>
      <c r="S26" s="2">
        <f t="shared" si="12"/>
        <v>0.51872710222835305</v>
      </c>
      <c r="T26" s="2">
        <f t="shared" si="13"/>
        <v>-0.302747019274693</v>
      </c>
      <c r="U26" s="2">
        <f t="shared" si="14"/>
        <v>0.41265607475416999</v>
      </c>
      <c r="V26" s="2">
        <f t="shared" si="15"/>
        <v>0.39457989702072299</v>
      </c>
      <c r="W26" s="2">
        <f t="shared" si="16"/>
        <v>0.2430750415023</v>
      </c>
      <c r="X26" s="2">
        <f t="shared" si="17"/>
        <v>0.39247794913989398</v>
      </c>
      <c r="Y26" s="2">
        <f t="shared" si="18"/>
        <v>1.06475791034117</v>
      </c>
      <c r="Z26" s="2">
        <f t="shared" si="19"/>
        <v>1.1119057015406399</v>
      </c>
      <c r="AA26" s="2">
        <f t="shared" si="20"/>
        <v>3.0607407278035801</v>
      </c>
      <c r="AB26" s="2">
        <f t="shared" si="21"/>
        <v>0.19178746486484999</v>
      </c>
      <c r="AC26" s="2">
        <f t="shared" si="22"/>
        <v>1.5111560744113199</v>
      </c>
      <c r="AD26" s="2">
        <f t="shared" si="23"/>
        <v>0.105983738129</v>
      </c>
      <c r="AE26" s="2">
        <f t="shared" si="24"/>
        <v>0.20355408396156499</v>
      </c>
      <c r="AF26" s="2">
        <f t="shared" si="25"/>
        <v>0.14687893902691099</v>
      </c>
      <c r="AG26" s="5">
        <f t="shared" si="26"/>
        <v>0.155756702864742</v>
      </c>
      <c r="AH26" s="2">
        <f t="shared" si="27"/>
        <v>41.287497008824701</v>
      </c>
      <c r="AI26" s="2">
        <f t="shared" si="28"/>
        <v>0.51115607441131505</v>
      </c>
      <c r="AJ26" s="2">
        <f t="shared" si="29"/>
        <v>0.32256457723715598</v>
      </c>
      <c r="AK26" s="2">
        <f t="shared" si="30"/>
        <v>0.179923175550186</v>
      </c>
      <c r="AL26" s="2">
        <f t="shared" si="31"/>
        <v>0.18061882645357599</v>
      </c>
      <c r="AM26" s="2">
        <f t="shared" si="32"/>
        <v>4.4601456921998599</v>
      </c>
      <c r="AN26" s="2">
        <f t="shared" si="33"/>
        <v>0.1370913033733</v>
      </c>
      <c r="AO26" s="2">
        <f t="shared" si="34"/>
        <v>0.493860423246061</v>
      </c>
      <c r="AP26" s="2">
        <f t="shared" si="35"/>
        <v>2.9514791805587302</v>
      </c>
      <c r="AQ26" s="2">
        <f t="shared" si="36"/>
        <v>0.12767648913349999</v>
      </c>
      <c r="AR26" s="2">
        <f t="shared" si="37"/>
        <v>0.44485650660723303</v>
      </c>
      <c r="AS26" s="2">
        <f t="shared" si="38"/>
        <v>0.77308870454317602</v>
      </c>
      <c r="AT26" s="2">
        <f t="shared" si="39"/>
        <v>0.132701392210688</v>
      </c>
      <c r="AU26" s="2">
        <f t="shared" si="40"/>
        <v>0.34537821707980898</v>
      </c>
      <c r="AV26" s="2">
        <f t="shared" si="41"/>
        <v>0.118883095136416</v>
      </c>
      <c r="AW26" s="2">
        <f t="shared" si="42"/>
        <v>0.53023592464807001</v>
      </c>
      <c r="AX26" s="2">
        <f t="shared" si="43"/>
        <v>-2.1692751004500001E-2</v>
      </c>
      <c r="AY26" s="5">
        <f t="shared" si="44"/>
        <v>1.0402927547837399</v>
      </c>
      <c r="AZ26" s="2">
        <f t="shared" si="45"/>
        <v>0.13519114860922599</v>
      </c>
      <c r="BA26" s="2">
        <f t="shared" si="46"/>
        <v>0.73425490075366495</v>
      </c>
      <c r="BB26" s="2">
        <f t="shared" si="47"/>
        <v>8.9538555307245402E-2</v>
      </c>
      <c r="BC26" s="2">
        <f t="shared" si="48"/>
        <v>0.77755390211592301</v>
      </c>
      <c r="BD26" s="2">
        <f t="shared" si="49"/>
        <v>9.7556619084609997E-2</v>
      </c>
      <c r="BE26" s="2">
        <f t="shared" si="50"/>
        <v>-4.6558740142500103E-2</v>
      </c>
      <c r="BF26" s="2">
        <f t="shared" si="51"/>
        <v>0.3423546586306</v>
      </c>
    </row>
    <row r="27" spans="1:58" s="2" customFormat="1" x14ac:dyDescent="0.15">
      <c r="A27" s="3">
        <v>229</v>
      </c>
      <c r="B27" s="4">
        <v>4.4215986595900002E-2</v>
      </c>
      <c r="C27" s="4">
        <v>8.0926696989799998E-2</v>
      </c>
      <c r="D27" s="4">
        <v>7.2480362093400003E-2</v>
      </c>
      <c r="E27" s="4">
        <v>0.20660159813199999</v>
      </c>
      <c r="F27" s="4">
        <v>0.305606972491</v>
      </c>
      <c r="G27" s="2">
        <f t="shared" si="0"/>
        <v>3.7763430840321899</v>
      </c>
      <c r="H27" s="2">
        <f t="shared" si="1"/>
        <v>0.22468027550120001</v>
      </c>
      <c r="I27" s="2">
        <f t="shared" si="2"/>
        <v>0.58126961049213399</v>
      </c>
      <c r="J27" s="2">
        <f t="shared" si="3"/>
        <v>-0.37630982796256401</v>
      </c>
      <c r="K27" s="2">
        <f t="shared" si="4"/>
        <v>2.7763430840321899</v>
      </c>
      <c r="L27" s="2">
        <f t="shared" si="5"/>
        <v>1.27035580175316</v>
      </c>
      <c r="M27" s="2">
        <f t="shared" si="6"/>
        <v>0.38015523251268801</v>
      </c>
      <c r="N27" s="2">
        <f t="shared" si="7"/>
        <v>0.35879376417715098</v>
      </c>
      <c r="O27" s="2">
        <f t="shared" si="8"/>
        <v>0.47687660273334398</v>
      </c>
      <c r="P27" s="2">
        <f t="shared" si="9"/>
        <v>0.36138596572895298</v>
      </c>
      <c r="Q27" s="2">
        <f t="shared" si="10"/>
        <v>0.61659460413784195</v>
      </c>
      <c r="R27" s="2">
        <f t="shared" si="11"/>
        <v>4.2164106754487101</v>
      </c>
      <c r="S27" s="2">
        <f t="shared" si="12"/>
        <v>0.50257058785835296</v>
      </c>
      <c r="T27" s="2">
        <f t="shared" si="13"/>
        <v>-0.32804833748032503</v>
      </c>
      <c r="U27" s="2">
        <f t="shared" si="14"/>
        <v>0.39824047315510902</v>
      </c>
      <c r="V27" s="2">
        <f t="shared" si="15"/>
        <v>0.37811501545447901</v>
      </c>
      <c r="W27" s="2">
        <f t="shared" si="16"/>
        <v>0.23312661039759999</v>
      </c>
      <c r="X27" s="2">
        <f t="shared" si="17"/>
        <v>0.37913666408315799</v>
      </c>
      <c r="Y27" s="2">
        <f t="shared" si="18"/>
        <v>1.0566904012708001</v>
      </c>
      <c r="Z27" s="2">
        <f t="shared" si="19"/>
        <v>1.0533900446453699</v>
      </c>
      <c r="AA27" s="2">
        <f t="shared" si="20"/>
        <v>3.0344176860899901</v>
      </c>
      <c r="AB27" s="2">
        <f t="shared" si="21"/>
        <v>0.18904366729220001</v>
      </c>
      <c r="AC27" s="2">
        <f t="shared" si="22"/>
        <v>1.4792091409464501</v>
      </c>
      <c r="AD27" s="2">
        <f t="shared" si="23"/>
        <v>9.9005374359000003E-2</v>
      </c>
      <c r="AE27" s="2">
        <f t="shared" si="24"/>
        <v>0.193291131850019</v>
      </c>
      <c r="AF27" s="2">
        <f t="shared" si="25"/>
        <v>0.13833604327537299</v>
      </c>
      <c r="AG27" s="5">
        <f t="shared" si="26"/>
        <v>0.14671685841100501</v>
      </c>
      <c r="AH27" s="2">
        <f t="shared" si="27"/>
        <v>39.150758072720897</v>
      </c>
      <c r="AI27" s="2">
        <f t="shared" si="28"/>
        <v>0.479209140946453</v>
      </c>
      <c r="AJ27" s="2">
        <f t="shared" si="29"/>
        <v>0.30434663994599198</v>
      </c>
      <c r="AK27" s="2">
        <f t="shared" si="30"/>
        <v>0.16912675503831201</v>
      </c>
      <c r="AL27" s="2">
        <f t="shared" si="31"/>
        <v>0.17084910736856701</v>
      </c>
      <c r="AM27" s="2">
        <f t="shared" si="32"/>
        <v>4.2164106754487101</v>
      </c>
      <c r="AN27" s="2">
        <f t="shared" si="33"/>
        <v>0.13412123603859999</v>
      </c>
      <c r="AO27" s="2">
        <f t="shared" si="34"/>
        <v>0.48058009887230702</v>
      </c>
      <c r="AP27" s="2">
        <f t="shared" si="35"/>
        <v>2.8504493101975399</v>
      </c>
      <c r="AQ27" s="2">
        <f t="shared" si="36"/>
        <v>0.12567490114220001</v>
      </c>
      <c r="AR27" s="2">
        <f t="shared" si="37"/>
        <v>0.43708707377464501</v>
      </c>
      <c r="AS27" s="2">
        <f t="shared" si="38"/>
        <v>0.738178213109416</v>
      </c>
      <c r="AT27" s="2">
        <f t="shared" si="39"/>
        <v>0.13643885536516301</v>
      </c>
      <c r="AU27" s="2">
        <f t="shared" si="40"/>
        <v>0.348321216783336</v>
      </c>
      <c r="AV27" s="2">
        <f t="shared" si="41"/>
        <v>0.12396397133201099</v>
      </c>
      <c r="AW27" s="2">
        <f t="shared" si="42"/>
        <v>0.52268301209530998</v>
      </c>
      <c r="AX27" s="2">
        <f t="shared" si="43"/>
        <v>-2.66695267832E-2</v>
      </c>
      <c r="AY27" s="5">
        <f t="shared" si="44"/>
        <v>1.0375926853283299</v>
      </c>
      <c r="AZ27" s="2">
        <f t="shared" si="45"/>
        <v>0.127698361971055</v>
      </c>
      <c r="BA27" s="2">
        <f t="shared" si="46"/>
        <v>0.74455519920605695</v>
      </c>
      <c r="BB27" s="2">
        <f t="shared" si="47"/>
        <v>7.99798312923099E-2</v>
      </c>
      <c r="BC27" s="2">
        <f t="shared" si="48"/>
        <v>0.75528685316724498</v>
      </c>
      <c r="BD27" s="2">
        <f t="shared" si="49"/>
        <v>9.0110315218204604E-2</v>
      </c>
      <c r="BE27" s="2">
        <f t="shared" si="50"/>
        <v>-5.3485106704871901E-2</v>
      </c>
      <c r="BF27" s="2">
        <f t="shared" si="51"/>
        <v>0.33253266360573702</v>
      </c>
    </row>
    <row r="28" spans="1:58" s="2" customFormat="1" x14ac:dyDescent="0.15">
      <c r="A28" s="3">
        <v>221</v>
      </c>
      <c r="B28" s="4">
        <v>4.4760374283899999E-2</v>
      </c>
      <c r="C28" s="4">
        <v>8.1844232940700007E-2</v>
      </c>
      <c r="D28" s="4">
        <v>7.4012709581899996E-2</v>
      </c>
      <c r="E28" s="4">
        <v>0.20134291204900001</v>
      </c>
      <c r="F28" s="4">
        <v>0.29875001271200002</v>
      </c>
      <c r="G28" s="2">
        <f t="shared" si="0"/>
        <v>3.6502268025220399</v>
      </c>
      <c r="H28" s="2">
        <f t="shared" si="1"/>
        <v>0.21690577977129999</v>
      </c>
      <c r="I28" s="2">
        <f t="shared" si="2"/>
        <v>0.56991345047615605</v>
      </c>
      <c r="J28" s="2">
        <f t="shared" si="3"/>
        <v>-0.39079426128127198</v>
      </c>
      <c r="K28" s="2">
        <f t="shared" si="4"/>
        <v>2.6502268025220399</v>
      </c>
      <c r="L28" s="2">
        <f t="shared" si="5"/>
        <v>1.22898327961357</v>
      </c>
      <c r="M28" s="2">
        <f t="shared" si="6"/>
        <v>0.36947626135779799</v>
      </c>
      <c r="N28" s="2">
        <f t="shared" si="7"/>
        <v>0.34687611076055902</v>
      </c>
      <c r="O28" s="2">
        <f t="shared" si="8"/>
        <v>0.46543356049030699</v>
      </c>
      <c r="P28" s="2">
        <f t="shared" si="9"/>
        <v>0.351592834650655</v>
      </c>
      <c r="Q28" s="2">
        <f t="shared" si="10"/>
        <v>0.60289639947663198</v>
      </c>
      <c r="R28" s="2">
        <f t="shared" si="11"/>
        <v>4.0364690659164904</v>
      </c>
      <c r="S28" s="2">
        <f t="shared" si="12"/>
        <v>0.489327163335393</v>
      </c>
      <c r="T28" s="2">
        <f t="shared" si="13"/>
        <v>-0.347367252016688</v>
      </c>
      <c r="U28" s="2">
        <f t="shared" si="14"/>
        <v>0.38625155048915</v>
      </c>
      <c r="V28" s="2">
        <f t="shared" si="15"/>
        <v>0.364553079803418</v>
      </c>
      <c r="W28" s="2">
        <f t="shared" si="16"/>
        <v>0.22473730313010001</v>
      </c>
      <c r="X28" s="2">
        <f t="shared" si="17"/>
        <v>0.36809416035197501</v>
      </c>
      <c r="Y28" s="2">
        <f t="shared" si="18"/>
        <v>1.05018874469146</v>
      </c>
      <c r="Z28" s="2">
        <f t="shared" si="19"/>
        <v>1.0090965795392901</v>
      </c>
      <c r="AA28" s="2">
        <f t="shared" si="20"/>
        <v>3.0140772308720201</v>
      </c>
      <c r="AB28" s="2">
        <f t="shared" si="21"/>
        <v>0.18638136114695</v>
      </c>
      <c r="AC28" s="2">
        <f t="shared" si="22"/>
        <v>1.4837870857817701</v>
      </c>
      <c r="AD28" s="2">
        <f t="shared" si="23"/>
        <v>9.7407100662999999E-2</v>
      </c>
      <c r="AE28" s="2">
        <f t="shared" si="24"/>
        <v>0.19477800192744599</v>
      </c>
      <c r="AF28" s="2">
        <f t="shared" si="25"/>
        <v>0.13774164381437001</v>
      </c>
      <c r="AG28" s="5">
        <f t="shared" si="26"/>
        <v>0.14609707495872701</v>
      </c>
      <c r="AH28" s="2">
        <f t="shared" si="27"/>
        <v>39.459766125904501</v>
      </c>
      <c r="AI28" s="2">
        <f t="shared" si="28"/>
        <v>0.48378708578176499</v>
      </c>
      <c r="AJ28" s="2">
        <f t="shared" si="29"/>
        <v>0.30697081608334398</v>
      </c>
      <c r="AK28" s="2">
        <f t="shared" si="30"/>
        <v>0.16741165412115</v>
      </c>
      <c r="AL28" s="2">
        <f t="shared" si="31"/>
        <v>0.17117625796396899</v>
      </c>
      <c r="AM28" s="2">
        <f t="shared" si="32"/>
        <v>4.0364690659164904</v>
      </c>
      <c r="AN28" s="2">
        <f t="shared" si="33"/>
        <v>0.1273302024671</v>
      </c>
      <c r="AO28" s="2">
        <f t="shared" si="34"/>
        <v>0.46242092938919399</v>
      </c>
      <c r="AP28" s="2">
        <f t="shared" si="35"/>
        <v>2.7203829340446002</v>
      </c>
      <c r="AQ28" s="2">
        <f t="shared" si="36"/>
        <v>0.1194986791083</v>
      </c>
      <c r="AR28" s="2">
        <f t="shared" si="37"/>
        <v>0.421977767079245</v>
      </c>
      <c r="AS28" s="2">
        <f t="shared" si="38"/>
        <v>0.764996040025683</v>
      </c>
      <c r="AT28" s="2">
        <f t="shared" si="39"/>
        <v>0.14064101571368201</v>
      </c>
      <c r="AU28" s="2">
        <f t="shared" si="40"/>
        <v>0.34598737919431499</v>
      </c>
      <c r="AV28" s="2">
        <f t="shared" si="41"/>
        <v>0.128918277673084</v>
      </c>
      <c r="AW28" s="2">
        <f t="shared" si="42"/>
        <v>0.52037463985863497</v>
      </c>
      <c r="AX28" s="2">
        <f t="shared" si="43"/>
        <v>-2.2091578445299999E-2</v>
      </c>
      <c r="AY28" s="5">
        <f t="shared" si="44"/>
        <v>1.0361056462721201</v>
      </c>
      <c r="AZ28" s="2">
        <f t="shared" si="45"/>
        <v>0.12864282767888099</v>
      </c>
      <c r="BA28" s="2">
        <f t="shared" si="46"/>
        <v>0.776135867562465</v>
      </c>
      <c r="BB28" s="2">
        <f t="shared" si="47"/>
        <v>8.0162999055988102E-2</v>
      </c>
      <c r="BC28" s="2">
        <f t="shared" si="48"/>
        <v>0.73825993090118303</v>
      </c>
      <c r="BD28" s="2">
        <f t="shared" si="49"/>
        <v>9.2143917142281401E-2</v>
      </c>
      <c r="BE28" s="2">
        <f t="shared" si="50"/>
        <v>-4.6151714454227999E-2</v>
      </c>
      <c r="BF28" s="2">
        <f t="shared" si="51"/>
        <v>0.34176768729481799</v>
      </c>
    </row>
    <row r="29" spans="1:58" s="2" customFormat="1" x14ac:dyDescent="0.15">
      <c r="A29" s="3">
        <v>235</v>
      </c>
      <c r="B29" s="4">
        <v>4.6585541567400003E-2</v>
      </c>
      <c r="C29" s="4">
        <v>8.4807968440000006E-2</v>
      </c>
      <c r="D29" s="4">
        <v>7.7949225230900004E-2</v>
      </c>
      <c r="E29" s="4">
        <v>0.20744407956499999</v>
      </c>
      <c r="F29" s="4">
        <v>0.29941793143099998</v>
      </c>
      <c r="G29" s="2">
        <f t="shared" si="0"/>
        <v>3.5305400770545798</v>
      </c>
      <c r="H29" s="2">
        <f t="shared" si="1"/>
        <v>0.21460996299099999</v>
      </c>
      <c r="I29" s="2">
        <f t="shared" si="2"/>
        <v>0.55855152675302</v>
      </c>
      <c r="J29" s="2">
        <f t="shared" si="3"/>
        <v>-0.40482505924864898</v>
      </c>
      <c r="K29" s="2">
        <f t="shared" si="4"/>
        <v>2.5305400770545798</v>
      </c>
      <c r="L29" s="2">
        <f t="shared" si="5"/>
        <v>1.1888805758143</v>
      </c>
      <c r="M29" s="2">
        <f t="shared" si="6"/>
        <v>0.36406414303569301</v>
      </c>
      <c r="N29" s="2">
        <f t="shared" si="7"/>
        <v>0.341325033525543</v>
      </c>
      <c r="O29" s="2">
        <f t="shared" si="8"/>
        <v>0.45743423296937702</v>
      </c>
      <c r="P29" s="2">
        <f t="shared" si="9"/>
        <v>0.34622351521095801</v>
      </c>
      <c r="Q29" s="2">
        <f t="shared" si="10"/>
        <v>0.58687859367296102</v>
      </c>
      <c r="R29" s="2">
        <f t="shared" si="11"/>
        <v>3.8411918854109</v>
      </c>
      <c r="S29" s="2">
        <f t="shared" si="12"/>
        <v>0.47807852788769201</v>
      </c>
      <c r="T29" s="2">
        <f t="shared" si="13"/>
        <v>-0.368978778819744</v>
      </c>
      <c r="U29" s="2">
        <f t="shared" si="14"/>
        <v>0.37863630610937798</v>
      </c>
      <c r="V29" s="2">
        <f t="shared" si="15"/>
        <v>0.35655043805039599</v>
      </c>
      <c r="W29" s="2">
        <f t="shared" si="16"/>
        <v>0.22146870620010001</v>
      </c>
      <c r="X29" s="2">
        <f t="shared" si="17"/>
        <v>0.36052079390415898</v>
      </c>
      <c r="Y29" s="2">
        <f t="shared" si="18"/>
        <v>1.0425346966278699</v>
      </c>
      <c r="Z29" s="2">
        <f t="shared" si="19"/>
        <v>0.95989588637021805</v>
      </c>
      <c r="AA29" s="2">
        <f t="shared" si="20"/>
        <v>2.9927008433803302</v>
      </c>
      <c r="AB29" s="2">
        <f t="shared" si="21"/>
        <v>0.18868357833095001</v>
      </c>
      <c r="AC29" s="2">
        <f t="shared" si="22"/>
        <v>1.44336696452781</v>
      </c>
      <c r="AD29" s="2">
        <f t="shared" si="23"/>
        <v>9.1973851866000003E-2</v>
      </c>
      <c r="AE29" s="2">
        <f t="shared" si="24"/>
        <v>0.18145737867643399</v>
      </c>
      <c r="AF29" s="2">
        <f t="shared" si="25"/>
        <v>0.12918720550572699</v>
      </c>
      <c r="AG29" s="5">
        <f t="shared" si="26"/>
        <v>0.137020541337663</v>
      </c>
      <c r="AH29" s="2">
        <f t="shared" si="27"/>
        <v>36.697855413335397</v>
      </c>
      <c r="AI29" s="2">
        <f t="shared" si="28"/>
        <v>0.44336696452781199</v>
      </c>
      <c r="AJ29" s="2">
        <f t="shared" si="29"/>
        <v>0.28364098289024497</v>
      </c>
      <c r="AK29" s="2">
        <f t="shared" si="30"/>
        <v>0.15724406453040299</v>
      </c>
      <c r="AL29" s="2">
        <f t="shared" si="31"/>
        <v>0.159987623234396</v>
      </c>
      <c r="AM29" s="2">
        <f t="shared" si="32"/>
        <v>3.8411918854109</v>
      </c>
      <c r="AN29" s="2">
        <f t="shared" si="33"/>
        <v>0.12949485433409999</v>
      </c>
      <c r="AO29" s="2">
        <f t="shared" si="34"/>
        <v>0.45374173870935303</v>
      </c>
      <c r="AP29" s="2">
        <f t="shared" si="35"/>
        <v>2.6612718593483402</v>
      </c>
      <c r="AQ29" s="2">
        <f t="shared" si="36"/>
        <v>0.122636111125</v>
      </c>
      <c r="AR29" s="2">
        <f t="shared" si="37"/>
        <v>0.41962447128138503</v>
      </c>
      <c r="AS29" s="2">
        <f t="shared" si="38"/>
        <v>0.71025101606512597</v>
      </c>
      <c r="AT29" s="2">
        <f t="shared" si="39"/>
        <v>0.143336608899512</v>
      </c>
      <c r="AU29" s="2">
        <f t="shared" si="40"/>
        <v>0.35060774887166402</v>
      </c>
      <c r="AV29" s="2">
        <f t="shared" si="41"/>
        <v>0.13328954781001601</v>
      </c>
      <c r="AW29" s="2">
        <f t="shared" si="42"/>
        <v>0.51199072945792301</v>
      </c>
      <c r="AX29" s="2">
        <f t="shared" si="43"/>
        <v>-3.0662259258999999E-2</v>
      </c>
      <c r="AY29" s="5">
        <f t="shared" si="44"/>
        <v>1.0319591090437299</v>
      </c>
      <c r="AZ29" s="2">
        <f t="shared" si="45"/>
        <v>0.12050938190108</v>
      </c>
      <c r="BA29" s="2">
        <f t="shared" si="46"/>
        <v>0.77566444452077699</v>
      </c>
      <c r="BB29" s="2">
        <f t="shared" si="47"/>
        <v>7.0799833215809904E-2</v>
      </c>
      <c r="BC29" s="2">
        <f t="shared" si="48"/>
        <v>0.73658542978467201</v>
      </c>
      <c r="BD29" s="2">
        <f t="shared" si="49"/>
        <v>8.4125187074435906E-2</v>
      </c>
      <c r="BE29" s="2">
        <f t="shared" si="50"/>
        <v>-5.8869986667959999E-2</v>
      </c>
      <c r="BF29" s="2">
        <f t="shared" si="51"/>
        <v>0.324871332339354</v>
      </c>
    </row>
    <row r="30" spans="1:58" s="2" customFormat="1" x14ac:dyDescent="0.15">
      <c r="A30" s="3">
        <v>195.5</v>
      </c>
      <c r="B30" s="4">
        <v>5.6465216290099998E-2</v>
      </c>
      <c r="C30" s="4">
        <v>0.104474367547</v>
      </c>
      <c r="D30" s="4">
        <v>9.7530855167799996E-2</v>
      </c>
      <c r="E30" s="4">
        <v>0.24534340244899999</v>
      </c>
      <c r="F30" s="4">
        <v>0.33452087068300002</v>
      </c>
      <c r="G30" s="2">
        <f t="shared" si="0"/>
        <v>3.2019420508337499</v>
      </c>
      <c r="H30" s="2">
        <f t="shared" si="1"/>
        <v>0.230046503136</v>
      </c>
      <c r="I30" s="2">
        <f t="shared" si="2"/>
        <v>0.52402960921292097</v>
      </c>
      <c r="J30" s="2">
        <f t="shared" si="3"/>
        <v>-0.44484341392861398</v>
      </c>
      <c r="K30" s="2">
        <f t="shared" si="4"/>
        <v>2.2019420508337499</v>
      </c>
      <c r="L30" s="2">
        <f t="shared" si="5"/>
        <v>1.07418938386483</v>
      </c>
      <c r="M30" s="2">
        <f t="shared" si="6"/>
        <v>0.36748829030747199</v>
      </c>
      <c r="N30" s="2">
        <f t="shared" si="7"/>
        <v>0.34838089358431301</v>
      </c>
      <c r="O30" s="2">
        <f t="shared" si="8"/>
        <v>0.44550261271909197</v>
      </c>
      <c r="P30" s="2">
        <f t="shared" si="9"/>
        <v>0.34720480863484199</v>
      </c>
      <c r="Q30" s="2">
        <f t="shared" si="10"/>
        <v>0.548522321137631</v>
      </c>
      <c r="R30" s="2">
        <f t="shared" si="11"/>
        <v>3.42989785240233</v>
      </c>
      <c r="S30" s="2">
        <f t="shared" si="12"/>
        <v>0.464331756828474</v>
      </c>
      <c r="T30" s="2">
        <f t="shared" si="13"/>
        <v>-0.41684426697972299</v>
      </c>
      <c r="U30" s="2">
        <f t="shared" si="14"/>
        <v>0.38140053112213801</v>
      </c>
      <c r="V30" s="2">
        <f t="shared" si="15"/>
        <v>0.36288006183042398</v>
      </c>
      <c r="W30" s="2">
        <f t="shared" si="16"/>
        <v>0.23699001551519999</v>
      </c>
      <c r="X30" s="2">
        <f t="shared" si="17"/>
        <v>0.36054724156043799</v>
      </c>
      <c r="Y30" s="2">
        <f t="shared" si="18"/>
        <v>1.02397378928253</v>
      </c>
      <c r="Z30" s="2">
        <f t="shared" si="19"/>
        <v>0.85199834028066301</v>
      </c>
      <c r="AA30" s="2">
        <f t="shared" si="20"/>
        <v>2.94460320093475</v>
      </c>
      <c r="AB30" s="2">
        <f t="shared" si="21"/>
        <v>0.21602586292539999</v>
      </c>
      <c r="AC30" s="2">
        <f t="shared" si="22"/>
        <v>1.36348019691517</v>
      </c>
      <c r="AD30" s="2">
        <f t="shared" si="23"/>
        <v>8.9177468233999996E-2</v>
      </c>
      <c r="AE30" s="2">
        <f t="shared" si="24"/>
        <v>0.15379024431412</v>
      </c>
      <c r="AF30" s="2">
        <f t="shared" si="25"/>
        <v>0.11710945575410001</v>
      </c>
      <c r="AG30" s="5">
        <f t="shared" si="26"/>
        <v>0.12387316228457999</v>
      </c>
      <c r="AH30" s="2">
        <f t="shared" si="27"/>
        <v>31.0040399483455</v>
      </c>
      <c r="AI30" s="2">
        <f t="shared" si="28"/>
        <v>0.36348019691516897</v>
      </c>
      <c r="AJ30" s="2">
        <f t="shared" si="29"/>
        <v>0.23643119144251701</v>
      </c>
      <c r="AK30" s="2">
        <f t="shared" si="30"/>
        <v>0.14351800296157899</v>
      </c>
      <c r="AL30" s="2">
        <f t="shared" si="31"/>
        <v>0.13981735151709901</v>
      </c>
      <c r="AM30" s="2">
        <f t="shared" si="32"/>
        <v>3.42989785240233</v>
      </c>
      <c r="AN30" s="2">
        <f t="shared" si="33"/>
        <v>0.1478125472812</v>
      </c>
      <c r="AO30" s="2">
        <f t="shared" si="34"/>
        <v>0.43109840997861298</v>
      </c>
      <c r="AP30" s="2">
        <f t="shared" si="35"/>
        <v>2.5155465111722002</v>
      </c>
      <c r="AQ30" s="2">
        <f t="shared" si="36"/>
        <v>0.14086903490200001</v>
      </c>
      <c r="AR30" s="2">
        <f t="shared" si="37"/>
        <v>0.40269262165730102</v>
      </c>
      <c r="AS30" s="2">
        <f t="shared" si="38"/>
        <v>0.603314602679487</v>
      </c>
      <c r="AT30" s="2">
        <f t="shared" si="39"/>
        <v>0.152664720851274</v>
      </c>
      <c r="AU30" s="2">
        <f t="shared" si="40"/>
        <v>0.35851168977623499</v>
      </c>
      <c r="AV30" s="2">
        <f t="shared" si="41"/>
        <v>0.14397926866199001</v>
      </c>
      <c r="AW30" s="2">
        <f t="shared" si="42"/>
        <v>0.493834184374217</v>
      </c>
      <c r="AX30" s="2">
        <f t="shared" si="43"/>
        <v>-5.1691566667999997E-2</v>
      </c>
      <c r="AY30" s="5">
        <f t="shared" si="44"/>
        <v>1.03018308161413</v>
      </c>
      <c r="AZ30" s="2">
        <f t="shared" si="45"/>
        <v>0.11020320199639699</v>
      </c>
      <c r="BA30" s="2">
        <f t="shared" si="46"/>
        <v>0.80375765573200997</v>
      </c>
      <c r="BB30" s="2">
        <f t="shared" si="47"/>
        <v>5.8858941668986697E-2</v>
      </c>
      <c r="BC30" s="2">
        <f t="shared" si="48"/>
        <v>0.81659509620954496</v>
      </c>
      <c r="BD30" s="2">
        <f t="shared" si="49"/>
        <v>7.3653688889043806E-2</v>
      </c>
      <c r="BE30" s="2">
        <f t="shared" si="50"/>
        <v>-9.1340140190159902E-2</v>
      </c>
      <c r="BF30" s="2">
        <f t="shared" si="51"/>
        <v>0.29347624945298301</v>
      </c>
    </row>
    <row r="31" spans="1:58" s="2" customFormat="1" x14ac:dyDescent="0.15">
      <c r="A31" s="3">
        <v>217.5</v>
      </c>
      <c r="B31" s="4">
        <v>5.7670136604799999E-2</v>
      </c>
      <c r="C31" s="4">
        <v>0.102986594229</v>
      </c>
      <c r="D31" s="4">
        <v>0.10305387768599999</v>
      </c>
      <c r="E31" s="4">
        <v>0.21658155937500001</v>
      </c>
      <c r="F31" s="4">
        <v>0.28838521777600001</v>
      </c>
      <c r="G31" s="2">
        <f t="shared" si="0"/>
        <v>2.80022094074448</v>
      </c>
      <c r="H31" s="2">
        <f t="shared" si="1"/>
        <v>0.18539862354700001</v>
      </c>
      <c r="I31" s="2">
        <f t="shared" si="2"/>
        <v>0.47371480995834098</v>
      </c>
      <c r="J31" s="2">
        <f t="shared" si="3"/>
        <v>-0.49697628056402199</v>
      </c>
      <c r="K31" s="2">
        <f t="shared" si="4"/>
        <v>1.80022094074448</v>
      </c>
      <c r="L31" s="2">
        <f t="shared" si="5"/>
        <v>0.92346701122876895</v>
      </c>
      <c r="M31" s="2">
        <f t="shared" si="6"/>
        <v>0.31198870277820701</v>
      </c>
      <c r="N31" s="2">
        <f t="shared" si="7"/>
        <v>0.28763178092937097</v>
      </c>
      <c r="O31" s="2">
        <f t="shared" si="8"/>
        <v>0.39004968812691099</v>
      </c>
      <c r="P31" s="2">
        <f t="shared" si="9"/>
        <v>0.29635464180623999</v>
      </c>
      <c r="Q31" s="2">
        <f t="shared" si="10"/>
        <v>0.47346149691885198</v>
      </c>
      <c r="R31" s="2">
        <f t="shared" si="11"/>
        <v>2.79839268789764</v>
      </c>
      <c r="S31" s="2">
        <f t="shared" si="12"/>
        <v>0.38986055989426099</v>
      </c>
      <c r="T31" s="2">
        <f t="shared" si="13"/>
        <v>-0.497222141012021</v>
      </c>
      <c r="U31" s="2">
        <f t="shared" si="14"/>
        <v>0.31185193868003303</v>
      </c>
      <c r="V31" s="2">
        <f t="shared" si="15"/>
        <v>0.28749743450742099</v>
      </c>
      <c r="W31" s="2">
        <f t="shared" si="16"/>
        <v>0.18533134008999999</v>
      </c>
      <c r="X31" s="2">
        <f t="shared" si="17"/>
        <v>0.29622162936724999</v>
      </c>
      <c r="Y31" s="2">
        <f t="shared" si="18"/>
        <v>0.98664152401916105</v>
      </c>
      <c r="Z31" s="2">
        <f t="shared" si="19"/>
        <v>0.67283970777168001</v>
      </c>
      <c r="AA31" s="2">
        <f t="shared" si="20"/>
        <v>2.83985125577167</v>
      </c>
      <c r="AB31" s="2">
        <f t="shared" si="21"/>
        <v>0.195719547731</v>
      </c>
      <c r="AC31" s="2">
        <f t="shared" si="22"/>
        <v>1.3315317269309901</v>
      </c>
      <c r="AD31" s="2">
        <f t="shared" si="23"/>
        <v>7.1803658401000003E-2</v>
      </c>
      <c r="AE31" s="2">
        <f t="shared" si="24"/>
        <v>0.14219481686718699</v>
      </c>
      <c r="AF31" s="2">
        <f t="shared" si="25"/>
        <v>0.101045079329595</v>
      </c>
      <c r="AG31" s="5">
        <f t="shared" si="26"/>
        <v>0.107173182288509</v>
      </c>
      <c r="AH31" s="2">
        <f t="shared" si="27"/>
        <v>28.6329953949657</v>
      </c>
      <c r="AI31" s="2">
        <f t="shared" si="28"/>
        <v>0.33153172693098798</v>
      </c>
      <c r="AJ31" s="2">
        <f t="shared" si="29"/>
        <v>0.217122300090557</v>
      </c>
      <c r="AK31" s="2">
        <f t="shared" si="30"/>
        <v>0.120822037253908</v>
      </c>
      <c r="AL31" s="2">
        <f t="shared" si="31"/>
        <v>0.125257752127135</v>
      </c>
      <c r="AM31" s="2">
        <f t="shared" si="32"/>
        <v>2.79839268789764</v>
      </c>
      <c r="AN31" s="2">
        <f t="shared" si="33"/>
        <v>0.113527681689</v>
      </c>
      <c r="AO31" s="2">
        <f t="shared" si="34"/>
        <v>0.355178645812461</v>
      </c>
      <c r="AP31" s="2">
        <f t="shared" si="35"/>
        <v>2.10163425421907</v>
      </c>
      <c r="AQ31" s="2">
        <f t="shared" si="36"/>
        <v>0.113594965146</v>
      </c>
      <c r="AR31" s="2">
        <f t="shared" si="37"/>
        <v>0.35546397181605199</v>
      </c>
      <c r="AS31" s="2">
        <f t="shared" si="38"/>
        <v>0.63247709574216804</v>
      </c>
      <c r="AT31" s="2">
        <f t="shared" si="39"/>
        <v>0.16939883727468999</v>
      </c>
      <c r="AU31" s="2">
        <f t="shared" si="40"/>
        <v>0.35624699125095599</v>
      </c>
      <c r="AV31" s="2">
        <f t="shared" si="41"/>
        <v>0.169490751450914</v>
      </c>
      <c r="AW31" s="2">
        <f t="shared" si="42"/>
        <v>0.47430167952651398</v>
      </c>
      <c r="AX31" s="2">
        <f t="shared" si="43"/>
        <v>-4.1791306744999999E-2</v>
      </c>
      <c r="AY31" s="5">
        <f t="shared" si="44"/>
        <v>0.999637087613097</v>
      </c>
      <c r="AZ31" s="2">
        <f t="shared" si="45"/>
        <v>9.8877227394131406E-2</v>
      </c>
      <c r="BA31" s="2">
        <f t="shared" si="46"/>
        <v>0.92903947563977696</v>
      </c>
      <c r="BB31" s="2">
        <f t="shared" si="47"/>
        <v>4.62360193942132E-2</v>
      </c>
      <c r="BC31" s="2">
        <f t="shared" si="48"/>
        <v>0.69848994124895203</v>
      </c>
      <c r="BD31" s="2">
        <f t="shared" si="49"/>
        <v>6.7346239608316802E-2</v>
      </c>
      <c r="BE31" s="2">
        <f t="shared" si="50"/>
        <v>-7.3810877530319993E-2</v>
      </c>
      <c r="BF31" s="2">
        <f t="shared" si="51"/>
        <v>0.30016966723014599</v>
      </c>
    </row>
    <row r="32" spans="1:58" s="2" customFormat="1" x14ac:dyDescent="0.15">
      <c r="A32" s="3">
        <v>224.5</v>
      </c>
      <c r="B32" s="4">
        <v>4.5507580481400002E-2</v>
      </c>
      <c r="C32" s="4">
        <v>8.4861185786899995E-2</v>
      </c>
      <c r="D32" s="4">
        <v>7.8783860991299998E-2</v>
      </c>
      <c r="E32" s="4">
        <v>0.198576773373</v>
      </c>
      <c r="F32" s="4">
        <v>0.28185188050400001</v>
      </c>
      <c r="G32" s="2">
        <f t="shared" si="0"/>
        <v>3.32132856606288</v>
      </c>
      <c r="H32" s="2">
        <f t="shared" si="1"/>
        <v>0.19699069471710001</v>
      </c>
      <c r="I32" s="2">
        <f t="shared" si="2"/>
        <v>0.53717937217114198</v>
      </c>
      <c r="J32" s="2">
        <f t="shared" si="3"/>
        <v>-0.43004291420329499</v>
      </c>
      <c r="K32" s="2">
        <f t="shared" si="4"/>
        <v>2.32132856606288</v>
      </c>
      <c r="L32" s="2">
        <f t="shared" si="5"/>
        <v>1.1166780295683201</v>
      </c>
      <c r="M32" s="2">
        <f t="shared" si="6"/>
        <v>0.34092718059528399</v>
      </c>
      <c r="N32" s="2">
        <f t="shared" si="7"/>
        <v>0.315685629458902</v>
      </c>
      <c r="O32" s="2">
        <f t="shared" si="8"/>
        <v>0.43384001745199102</v>
      </c>
      <c r="P32" s="2">
        <f t="shared" si="9"/>
        <v>0.32529884369866602</v>
      </c>
      <c r="Q32" s="2">
        <f t="shared" si="10"/>
        <v>0.56308345554082195</v>
      </c>
      <c r="R32" s="2">
        <f t="shared" si="11"/>
        <v>3.5775332277143002</v>
      </c>
      <c r="S32" s="2">
        <f t="shared" si="12"/>
        <v>0.45244473988318901</v>
      </c>
      <c r="T32" s="2">
        <f t="shared" si="13"/>
        <v>-0.39928246036875598</v>
      </c>
      <c r="U32" s="2">
        <f t="shared" si="14"/>
        <v>0.35392677131886602</v>
      </c>
      <c r="V32" s="2">
        <f t="shared" si="15"/>
        <v>0.32891002549141601</v>
      </c>
      <c r="W32" s="2">
        <f t="shared" si="16"/>
        <v>0.20306801951270001</v>
      </c>
      <c r="X32" s="2">
        <f t="shared" si="17"/>
        <v>0.33814825467099802</v>
      </c>
      <c r="Y32" s="2">
        <f t="shared" si="18"/>
        <v>1.0310593850699501</v>
      </c>
      <c r="Z32" s="2">
        <f t="shared" si="19"/>
        <v>0.89143681568121602</v>
      </c>
      <c r="AA32" s="2">
        <f t="shared" si="20"/>
        <v>2.9599781974322199</v>
      </c>
      <c r="AB32" s="2">
        <f t="shared" si="21"/>
        <v>0.18031787074764999</v>
      </c>
      <c r="AC32" s="2">
        <f t="shared" si="22"/>
        <v>1.4193597555066499</v>
      </c>
      <c r="AD32" s="2">
        <f t="shared" si="23"/>
        <v>8.3275107131000004E-2</v>
      </c>
      <c r="AE32" s="2">
        <f t="shared" si="24"/>
        <v>0.17333501334481199</v>
      </c>
      <c r="AF32" s="2">
        <f t="shared" si="25"/>
        <v>0.120143629901225</v>
      </c>
      <c r="AG32" s="5">
        <f t="shared" si="26"/>
        <v>0.12740617096669499</v>
      </c>
      <c r="AH32" s="2">
        <f t="shared" si="27"/>
        <v>35.020589353406997</v>
      </c>
      <c r="AI32" s="2">
        <f t="shared" si="28"/>
        <v>0.419359755506646</v>
      </c>
      <c r="AJ32" s="2">
        <f t="shared" si="29"/>
        <v>0.269610327726928</v>
      </c>
      <c r="AK32" s="2">
        <f t="shared" si="30"/>
        <v>0.145139987423102</v>
      </c>
      <c r="AL32" s="2">
        <f t="shared" si="31"/>
        <v>0.15083510659176799</v>
      </c>
      <c r="AM32" s="2">
        <f t="shared" si="32"/>
        <v>3.5775332277143002</v>
      </c>
      <c r="AN32" s="2">
        <f t="shared" si="33"/>
        <v>0.11979291238170001</v>
      </c>
      <c r="AO32" s="2">
        <f t="shared" si="34"/>
        <v>0.431903080465116</v>
      </c>
      <c r="AP32" s="2">
        <f t="shared" si="35"/>
        <v>2.5205260426996401</v>
      </c>
      <c r="AQ32" s="2">
        <f t="shared" si="36"/>
        <v>0.11371558758609999</v>
      </c>
      <c r="AR32" s="2">
        <f t="shared" si="37"/>
        <v>0.401200982123739</v>
      </c>
      <c r="AS32" s="2">
        <f t="shared" si="38"/>
        <v>0.69515888273638304</v>
      </c>
      <c r="AT32" s="2">
        <f t="shared" si="39"/>
        <v>0.15011977897454401</v>
      </c>
      <c r="AU32" s="2">
        <f t="shared" si="40"/>
        <v>0.35128311078625801</v>
      </c>
      <c r="AV32" s="2">
        <f t="shared" si="41"/>
        <v>0.14088357984952199</v>
      </c>
      <c r="AW32" s="2">
        <f t="shared" si="42"/>
        <v>0.50401568815100395</v>
      </c>
      <c r="AX32" s="2">
        <f t="shared" si="43"/>
        <v>-3.0440480455099998E-2</v>
      </c>
      <c r="AY32" s="5">
        <f t="shared" si="44"/>
        <v>1.0308508216813399</v>
      </c>
      <c r="AZ32" s="2">
        <f t="shared" si="45"/>
        <v>0.11333933457123301</v>
      </c>
      <c r="BA32" s="2">
        <f t="shared" si="46"/>
        <v>0.81426573299188898</v>
      </c>
      <c r="BB32" s="2">
        <f t="shared" si="47"/>
        <v>6.22772028390964E-2</v>
      </c>
      <c r="BC32" s="2">
        <f t="shared" si="48"/>
        <v>0.69036558210908605</v>
      </c>
      <c r="BD32" s="2">
        <f t="shared" si="49"/>
        <v>7.6889376676941096E-2</v>
      </c>
      <c r="BE32" s="2">
        <f t="shared" si="50"/>
        <v>-5.7480162365675998E-2</v>
      </c>
      <c r="BF32" s="2">
        <f t="shared" si="51"/>
        <v>0.32267622757783199</v>
      </c>
    </row>
    <row r="33" spans="1:58" s="2" customFormat="1" x14ac:dyDescent="0.15">
      <c r="A33" s="3">
        <v>222</v>
      </c>
      <c r="B33" s="4">
        <v>3.6959115060700001E-2</v>
      </c>
      <c r="C33" s="4">
        <v>7.2592729256800007E-2</v>
      </c>
      <c r="D33" s="4">
        <v>5.8992979321700001E-2</v>
      </c>
      <c r="E33" s="4">
        <v>0.20108639129200001</v>
      </c>
      <c r="F33" s="4">
        <v>0.31018511188199999</v>
      </c>
      <c r="G33" s="2">
        <f t="shared" si="0"/>
        <v>4.2729501295468104</v>
      </c>
      <c r="H33" s="2">
        <f t="shared" si="1"/>
        <v>0.23759238262519999</v>
      </c>
      <c r="I33" s="2">
        <f t="shared" si="2"/>
        <v>0.62070568640635104</v>
      </c>
      <c r="J33" s="2">
        <f t="shared" si="3"/>
        <v>-0.322092011951225</v>
      </c>
      <c r="K33" s="2">
        <f t="shared" si="4"/>
        <v>3.27295012954681</v>
      </c>
      <c r="L33" s="2">
        <f t="shared" si="5"/>
        <v>1.4253205803376701</v>
      </c>
      <c r="M33" s="2">
        <f t="shared" si="6"/>
        <v>0.40371264131194301</v>
      </c>
      <c r="N33" s="2">
        <f t="shared" si="7"/>
        <v>0.384491383639677</v>
      </c>
      <c r="O33" s="2">
        <f t="shared" si="8"/>
        <v>0.50777158342901696</v>
      </c>
      <c r="P33" s="2">
        <f t="shared" si="9"/>
        <v>0.38402466449734102</v>
      </c>
      <c r="Q33" s="2">
        <f t="shared" si="10"/>
        <v>0.68040909941673799</v>
      </c>
      <c r="R33" s="2">
        <f t="shared" si="11"/>
        <v>5.2580004510452198</v>
      </c>
      <c r="S33" s="2">
        <f t="shared" si="12"/>
        <v>0.55063291283875904</v>
      </c>
      <c r="T33" s="2">
        <f t="shared" si="13"/>
        <v>-0.22627160299917001</v>
      </c>
      <c r="U33" s="2">
        <f t="shared" si="14"/>
        <v>0.433499420491198</v>
      </c>
      <c r="V33" s="2">
        <f t="shared" si="15"/>
        <v>0.41773683453242499</v>
      </c>
      <c r="W33" s="2">
        <f t="shared" si="16"/>
        <v>0.25119213256029999</v>
      </c>
      <c r="X33" s="2">
        <f t="shared" si="17"/>
        <v>0.41341675425159502</v>
      </c>
      <c r="Y33" s="2">
        <f t="shared" si="18"/>
        <v>1.0864663360715501</v>
      </c>
      <c r="Z33" s="2">
        <f t="shared" si="19"/>
        <v>1.2930330244122601</v>
      </c>
      <c r="AA33" s="2">
        <f t="shared" si="20"/>
        <v>3.12285538277255</v>
      </c>
      <c r="AB33" s="2">
        <f t="shared" si="21"/>
        <v>0.18458904560184999</v>
      </c>
      <c r="AC33" s="2">
        <f t="shared" si="22"/>
        <v>1.5425465139089201</v>
      </c>
      <c r="AD33" s="2">
        <f t="shared" si="23"/>
        <v>0.10909872059</v>
      </c>
      <c r="AE33" s="2">
        <f t="shared" si="24"/>
        <v>0.213387055434753</v>
      </c>
      <c r="AF33" s="2">
        <f t="shared" si="25"/>
        <v>0.152578683761523</v>
      </c>
      <c r="AG33" s="5">
        <f t="shared" si="26"/>
        <v>0.16182408025082301</v>
      </c>
      <c r="AH33" s="2">
        <f t="shared" si="27"/>
        <v>43.343463122698402</v>
      </c>
      <c r="AI33" s="2">
        <f t="shared" si="28"/>
        <v>0.54254651390892195</v>
      </c>
      <c r="AJ33" s="2">
        <f t="shared" si="29"/>
        <v>0.34025343942334402</v>
      </c>
      <c r="AK33" s="2">
        <f t="shared" si="30"/>
        <v>0.188279113959682</v>
      </c>
      <c r="AL33" s="2">
        <f t="shared" si="31"/>
        <v>0.18852955217971701</v>
      </c>
      <c r="AM33" s="2">
        <f t="shared" si="32"/>
        <v>5.2580004510452198</v>
      </c>
      <c r="AN33" s="2">
        <f t="shared" si="33"/>
        <v>0.14209341197030001</v>
      </c>
      <c r="AO33" s="2">
        <f t="shared" si="34"/>
        <v>0.54634633894648099</v>
      </c>
      <c r="AP33" s="2">
        <f t="shared" si="35"/>
        <v>3.4086495309117599</v>
      </c>
      <c r="AQ33" s="2">
        <f t="shared" si="36"/>
        <v>0.12849366203519999</v>
      </c>
      <c r="AR33" s="2">
        <f t="shared" si="37"/>
        <v>0.46950480466882399</v>
      </c>
      <c r="AS33" s="2">
        <f t="shared" si="38"/>
        <v>0.76779576953788298</v>
      </c>
      <c r="AT33" s="2">
        <f t="shared" si="39"/>
        <v>0.124331523023041</v>
      </c>
      <c r="AU33" s="2">
        <f t="shared" si="40"/>
        <v>0.34440607956890501</v>
      </c>
      <c r="AV33" s="2">
        <f t="shared" si="41"/>
        <v>0.103448454414562</v>
      </c>
      <c r="AW33" s="2">
        <f t="shared" si="42"/>
        <v>0.54393201997169605</v>
      </c>
      <c r="AX33" s="2">
        <f t="shared" si="43"/>
        <v>-1.9394941445200001E-2</v>
      </c>
      <c r="AY33" s="5">
        <f t="shared" si="44"/>
        <v>1.0572398398670599</v>
      </c>
      <c r="AZ33" s="2">
        <f t="shared" si="45"/>
        <v>0.13829164481987199</v>
      </c>
      <c r="BA33" s="2">
        <f t="shared" si="46"/>
        <v>0.69460221937573996</v>
      </c>
      <c r="BB33" s="2">
        <f t="shared" si="47"/>
        <v>9.4990390808064595E-2</v>
      </c>
      <c r="BC33" s="2">
        <f t="shared" si="48"/>
        <v>0.77198302719464695</v>
      </c>
      <c r="BD33" s="2">
        <f t="shared" si="49"/>
        <v>9.4810832728656799E-2</v>
      </c>
      <c r="BE33" s="2">
        <f t="shared" si="50"/>
        <v>-4.3347955125311997E-2</v>
      </c>
      <c r="BF33" s="2">
        <f t="shared" si="51"/>
        <v>0.34378137675873899</v>
      </c>
    </row>
    <row r="34" spans="1:58" s="2" customFormat="1" x14ac:dyDescent="0.15">
      <c r="A34" s="3">
        <v>225.5</v>
      </c>
      <c r="B34" s="4">
        <v>3.7611541819199998E-2</v>
      </c>
      <c r="C34" s="4">
        <v>7.1231629365499996E-2</v>
      </c>
      <c r="D34" s="4">
        <v>6.1854865787600001E-2</v>
      </c>
      <c r="E34" s="4">
        <v>0.18579549764600001</v>
      </c>
      <c r="F34" s="4">
        <v>0.27655044653600003</v>
      </c>
      <c r="G34" s="2">
        <f t="shared" si="0"/>
        <v>3.8824107913772301</v>
      </c>
      <c r="H34" s="2">
        <f t="shared" si="1"/>
        <v>0.20531881717049999</v>
      </c>
      <c r="I34" s="2">
        <f t="shared" si="2"/>
        <v>0.590366299465793</v>
      </c>
      <c r="J34" s="2">
        <f t="shared" si="3"/>
        <v>-0.36435950986830001</v>
      </c>
      <c r="K34" s="2">
        <f t="shared" si="4"/>
        <v>2.8824107913772301</v>
      </c>
      <c r="L34" s="2">
        <f t="shared" si="5"/>
        <v>1.30448387971858</v>
      </c>
      <c r="M34" s="2">
        <f t="shared" si="6"/>
        <v>0.36327522662974099</v>
      </c>
      <c r="N34" s="2">
        <f t="shared" si="7"/>
        <v>0.33792422562090102</v>
      </c>
      <c r="O34" s="2">
        <f t="shared" si="8"/>
        <v>0.469039454563143</v>
      </c>
      <c r="P34" s="2">
        <f t="shared" si="9"/>
        <v>0.34815701960989098</v>
      </c>
      <c r="Q34" s="2">
        <f t="shared" si="10"/>
        <v>0.63443324596245498</v>
      </c>
      <c r="R34" s="2">
        <f t="shared" si="11"/>
        <v>4.4709570219686698</v>
      </c>
      <c r="S34" s="2">
        <f t="shared" si="12"/>
        <v>0.49968743813558097</v>
      </c>
      <c r="T34" s="2">
        <f t="shared" si="13"/>
        <v>-0.301647042060814</v>
      </c>
      <c r="U34" s="2">
        <f t="shared" si="14"/>
        <v>0.38411418247109202</v>
      </c>
      <c r="V34" s="2">
        <f t="shared" si="15"/>
        <v>0.35984979316662902</v>
      </c>
      <c r="W34" s="2">
        <f t="shared" si="16"/>
        <v>0.21469558074840001</v>
      </c>
      <c r="X34" s="2">
        <f t="shared" si="17"/>
        <v>0.36906640891308701</v>
      </c>
      <c r="Y34" s="2">
        <f t="shared" si="18"/>
        <v>1.0650977635703001</v>
      </c>
      <c r="Z34" s="2">
        <f t="shared" si="19"/>
        <v>1.11446376700304</v>
      </c>
      <c r="AA34" s="2">
        <f t="shared" si="20"/>
        <v>3.0494898477582102</v>
      </c>
      <c r="AB34" s="2">
        <f t="shared" si="21"/>
        <v>0.1692026561618</v>
      </c>
      <c r="AC34" s="2">
        <f t="shared" si="22"/>
        <v>1.4884668898861999</v>
      </c>
      <c r="AD34" s="2">
        <f t="shared" si="23"/>
        <v>9.0754948890000006E-2</v>
      </c>
      <c r="AE34" s="2">
        <f t="shared" si="24"/>
        <v>0.19629230023974201</v>
      </c>
      <c r="AF34" s="2">
        <f t="shared" si="25"/>
        <v>0.13347096191965599</v>
      </c>
      <c r="AG34" s="5">
        <f t="shared" si="26"/>
        <v>0.14145892561610299</v>
      </c>
      <c r="AH34" s="2">
        <f t="shared" si="27"/>
        <v>39.774665728017197</v>
      </c>
      <c r="AI34" s="2">
        <f t="shared" si="28"/>
        <v>0.48846688988619802</v>
      </c>
      <c r="AJ34" s="2">
        <f t="shared" si="29"/>
        <v>0.30964865477943598</v>
      </c>
      <c r="AK34" s="2">
        <f t="shared" si="30"/>
        <v>0.162370659314784</v>
      </c>
      <c r="AL34" s="2">
        <f t="shared" si="31"/>
        <v>0.16915951922973099</v>
      </c>
      <c r="AM34" s="2">
        <f t="shared" si="32"/>
        <v>4.4709570219686698</v>
      </c>
      <c r="AN34" s="2">
        <f t="shared" si="33"/>
        <v>0.1239406318584</v>
      </c>
      <c r="AO34" s="2">
        <f t="shared" si="34"/>
        <v>0.50046618199949</v>
      </c>
      <c r="AP34" s="2">
        <f t="shared" si="35"/>
        <v>3.0037329364514802</v>
      </c>
      <c r="AQ34" s="2">
        <f t="shared" si="36"/>
        <v>0.1145638682805</v>
      </c>
      <c r="AR34" s="2">
        <f t="shared" si="37"/>
        <v>0.44572675893223601</v>
      </c>
      <c r="AS34" s="2">
        <f t="shared" si="38"/>
        <v>0.73224533011648596</v>
      </c>
      <c r="AT34" s="2">
        <f t="shared" si="39"/>
        <v>0.13349816951997301</v>
      </c>
      <c r="AU34" s="2">
        <f t="shared" si="40"/>
        <v>0.348207096506578</v>
      </c>
      <c r="AV34" s="2">
        <f t="shared" si="41"/>
        <v>0.117998417040193</v>
      </c>
      <c r="AW34" s="2">
        <f t="shared" si="42"/>
        <v>0.52756585124704003</v>
      </c>
      <c r="AX34" s="2">
        <f t="shared" si="43"/>
        <v>-2.3808919390500002E-2</v>
      </c>
      <c r="AY34" s="5">
        <f t="shared" si="44"/>
        <v>1.0456692850033</v>
      </c>
      <c r="AZ34" s="2">
        <f t="shared" si="45"/>
        <v>0.12217384994732799</v>
      </c>
      <c r="BA34" s="2">
        <f t="shared" si="46"/>
        <v>0.72907418321872397</v>
      </c>
      <c r="BB34" s="2">
        <f t="shared" si="47"/>
        <v>7.3963684270301797E-2</v>
      </c>
      <c r="BC34" s="2">
        <f t="shared" si="48"/>
        <v>0.68234116407271705</v>
      </c>
      <c r="BD34" s="2">
        <f t="shared" si="49"/>
        <v>8.0524488660670801E-2</v>
      </c>
      <c r="BE34" s="2">
        <f t="shared" si="50"/>
        <v>-4.8032508115979901E-2</v>
      </c>
      <c r="BF34" s="2">
        <f t="shared" si="51"/>
        <v>0.33249238721343299</v>
      </c>
    </row>
    <row r="35" spans="1:58" s="2" customFormat="1" x14ac:dyDescent="0.15">
      <c r="A35" s="3">
        <v>229.5</v>
      </c>
      <c r="B35" s="4">
        <v>4.5408335659600001E-2</v>
      </c>
      <c r="C35" s="4">
        <v>8.2855540385099999E-2</v>
      </c>
      <c r="D35" s="4">
        <v>7.7238445394999994E-2</v>
      </c>
      <c r="E35" s="4">
        <v>0.201943934854</v>
      </c>
      <c r="F35" s="4">
        <v>0.29687870800499999</v>
      </c>
      <c r="G35" s="2">
        <f t="shared" si="0"/>
        <v>3.5830881872854001</v>
      </c>
      <c r="H35" s="2">
        <f t="shared" si="1"/>
        <v>0.21402316761990001</v>
      </c>
      <c r="I35" s="2">
        <f t="shared" si="2"/>
        <v>0.56361302286338599</v>
      </c>
      <c r="J35" s="2">
        <f t="shared" si="3"/>
        <v>-0.398630170796551</v>
      </c>
      <c r="K35" s="2">
        <f t="shared" si="4"/>
        <v>2.5830881872854001</v>
      </c>
      <c r="L35" s="2">
        <f t="shared" si="5"/>
        <v>1.20659112443223</v>
      </c>
      <c r="M35" s="2">
        <f t="shared" si="6"/>
        <v>0.36492242062570401</v>
      </c>
      <c r="N35" s="2">
        <f t="shared" si="7"/>
        <v>0.34193987691677802</v>
      </c>
      <c r="O35" s="2">
        <f t="shared" si="8"/>
        <v>0.45997984226423599</v>
      </c>
      <c r="P35" s="2">
        <f t="shared" si="9"/>
        <v>0.34731289130271098</v>
      </c>
      <c r="Q35" s="2">
        <f t="shared" si="10"/>
        <v>0.58708952694068095</v>
      </c>
      <c r="R35" s="2">
        <f t="shared" si="11"/>
        <v>3.8436649842802</v>
      </c>
      <c r="S35" s="2">
        <f t="shared" si="12"/>
        <v>0.47701651782898902</v>
      </c>
      <c r="T35" s="2">
        <f t="shared" si="13"/>
        <v>-0.36870074479348502</v>
      </c>
      <c r="U35" s="2">
        <f t="shared" si="14"/>
        <v>0.376906450849887</v>
      </c>
      <c r="V35" s="2">
        <f t="shared" si="15"/>
        <v>0.354459054223979</v>
      </c>
      <c r="W35" s="2">
        <f t="shared" si="16"/>
        <v>0.21964026261</v>
      </c>
      <c r="X35" s="2">
        <f t="shared" si="17"/>
        <v>0.35909399587410501</v>
      </c>
      <c r="Y35" s="2">
        <f t="shared" si="18"/>
        <v>1.04263585538801</v>
      </c>
      <c r="Z35" s="2">
        <f t="shared" si="19"/>
        <v>0.960526710932601</v>
      </c>
      <c r="AA35" s="2">
        <f t="shared" si="20"/>
        <v>2.9925712290473698</v>
      </c>
      <c r="AB35" s="2">
        <f t="shared" si="21"/>
        <v>0.18705857670000001</v>
      </c>
      <c r="AC35" s="2">
        <f t="shared" si="22"/>
        <v>1.4701046021492801</v>
      </c>
      <c r="AD35" s="2">
        <f t="shared" si="23"/>
        <v>9.4934773151000004E-2</v>
      </c>
      <c r="AE35" s="2">
        <f t="shared" si="24"/>
        <v>0.19031769008496</v>
      </c>
      <c r="AF35" s="2">
        <f t="shared" si="25"/>
        <v>0.134416393103066</v>
      </c>
      <c r="AG35" s="5">
        <f t="shared" si="26"/>
        <v>0.14257001555240301</v>
      </c>
      <c r="AH35" s="2">
        <f t="shared" si="27"/>
        <v>38.533355618372099</v>
      </c>
      <c r="AI35" s="2">
        <f t="shared" si="28"/>
        <v>0.47010460214928101</v>
      </c>
      <c r="AJ35" s="2">
        <f t="shared" si="29"/>
        <v>0.29911406182150702</v>
      </c>
      <c r="AK35" s="2">
        <f t="shared" si="30"/>
        <v>0.162909695997392</v>
      </c>
      <c r="AL35" s="2">
        <f t="shared" si="31"/>
        <v>0.16715323622950901</v>
      </c>
      <c r="AM35" s="2">
        <f t="shared" si="32"/>
        <v>3.8436649842802</v>
      </c>
      <c r="AN35" s="2">
        <f t="shared" si="33"/>
        <v>0.12470548945899999</v>
      </c>
      <c r="AO35" s="2">
        <f t="shared" si="34"/>
        <v>0.446681088354417</v>
      </c>
      <c r="AP35" s="2">
        <f t="shared" si="35"/>
        <v>2.61455203844733</v>
      </c>
      <c r="AQ35" s="2">
        <f t="shared" si="36"/>
        <v>0.1190883944689</v>
      </c>
      <c r="AR35" s="2">
        <f t="shared" si="37"/>
        <v>0.41814822295202903</v>
      </c>
      <c r="AS35" s="2">
        <f t="shared" si="38"/>
        <v>0.76127180577894404</v>
      </c>
      <c r="AT35" s="2">
        <f t="shared" si="39"/>
        <v>0.14244223485055499</v>
      </c>
      <c r="AU35" s="2">
        <f t="shared" si="40"/>
        <v>0.34717467608589098</v>
      </c>
      <c r="AV35" s="2">
        <f t="shared" si="41"/>
        <v>0.134080303235034</v>
      </c>
      <c r="AW35" s="2">
        <f t="shared" si="42"/>
        <v>0.515359766626172</v>
      </c>
      <c r="AX35" s="2">
        <f t="shared" si="43"/>
        <v>-2.4153621317900002E-2</v>
      </c>
      <c r="AY35" s="5">
        <f t="shared" si="44"/>
        <v>1.0262452661203301</v>
      </c>
      <c r="AZ35" s="2">
        <f t="shared" si="45"/>
        <v>0.12576635716326401</v>
      </c>
      <c r="BA35" s="2">
        <f t="shared" si="46"/>
        <v>0.78245814191138097</v>
      </c>
      <c r="BB35" s="2">
        <f t="shared" si="47"/>
        <v>7.6636758176366698E-2</v>
      </c>
      <c r="BC35" s="2">
        <f t="shared" si="48"/>
        <v>0.73241343960812999</v>
      </c>
      <c r="BD35" s="2">
        <f t="shared" si="49"/>
        <v>9.1067822924857406E-2</v>
      </c>
      <c r="BE35" s="2">
        <f t="shared" si="50"/>
        <v>-4.9071822034043998E-2</v>
      </c>
      <c r="BF35" s="2">
        <f t="shared" si="51"/>
        <v>0.33767440134379501</v>
      </c>
    </row>
    <row r="36" spans="1:58" s="2" customFormat="1" x14ac:dyDescent="0.15">
      <c r="A36" s="3">
        <v>231</v>
      </c>
      <c r="B36" s="4">
        <v>5.3822098564799997E-2</v>
      </c>
      <c r="C36" s="4">
        <v>9.5232463281900007E-2</v>
      </c>
      <c r="D36" s="4">
        <v>9.3574466694700001E-2</v>
      </c>
      <c r="E36" s="4">
        <v>0.21438153465699999</v>
      </c>
      <c r="F36" s="4">
        <v>0.30936159316599998</v>
      </c>
      <c r="G36" s="2">
        <f t="shared" si="0"/>
        <v>3.2484888293842702</v>
      </c>
      <c r="H36" s="2">
        <f t="shared" si="1"/>
        <v>0.21412912988409999</v>
      </c>
      <c r="I36" s="2">
        <f t="shared" si="2"/>
        <v>0.52924437833820104</v>
      </c>
      <c r="J36" s="2">
        <f t="shared" si="3"/>
        <v>-0.43903665869757502</v>
      </c>
      <c r="K36" s="2">
        <f t="shared" si="4"/>
        <v>2.2484888293842702</v>
      </c>
      <c r="L36" s="2">
        <f t="shared" si="5"/>
        <v>1.09087124478917</v>
      </c>
      <c r="M36" s="2">
        <f t="shared" si="6"/>
        <v>0.35506942869754399</v>
      </c>
      <c r="N36" s="2">
        <f t="shared" si="7"/>
        <v>0.33311803286937403</v>
      </c>
      <c r="O36" s="2">
        <f t="shared" si="8"/>
        <v>0.43994404090663197</v>
      </c>
      <c r="P36" s="2">
        <f t="shared" si="9"/>
        <v>0.33664022075445799</v>
      </c>
      <c r="Q36" s="2">
        <f t="shared" si="10"/>
        <v>0.53553689522327796</v>
      </c>
      <c r="R36" s="2">
        <f t="shared" si="11"/>
        <v>3.3060470884150099</v>
      </c>
      <c r="S36" s="2">
        <f t="shared" si="12"/>
        <v>0.44465630211830598</v>
      </c>
      <c r="T36" s="2">
        <f t="shared" si="13"/>
        <v>-0.43192043414310699</v>
      </c>
      <c r="U36" s="2">
        <f t="shared" si="14"/>
        <v>0.35847575935430698</v>
      </c>
      <c r="V36" s="2">
        <f t="shared" si="15"/>
        <v>0.33661225625519497</v>
      </c>
      <c r="W36" s="2">
        <f t="shared" si="16"/>
        <v>0.21578712647129999</v>
      </c>
      <c r="X36" s="2">
        <f t="shared" si="17"/>
        <v>0.339944065604318</v>
      </c>
      <c r="Y36" s="2">
        <f t="shared" si="18"/>
        <v>1.01761333286434</v>
      </c>
      <c r="Z36" s="2">
        <f t="shared" si="19"/>
        <v>0.81825385697789899</v>
      </c>
      <c r="AA36" s="2">
        <f t="shared" si="20"/>
        <v>2.9228224660437099</v>
      </c>
      <c r="AB36" s="2">
        <f t="shared" si="21"/>
        <v>0.20146802993035001</v>
      </c>
      <c r="AC36" s="2">
        <f t="shared" si="22"/>
        <v>1.4430421615414</v>
      </c>
      <c r="AD36" s="2">
        <f t="shared" si="23"/>
        <v>9.4980058509000001E-2</v>
      </c>
      <c r="AE36" s="2">
        <f t="shared" si="24"/>
        <v>0.181348553257006</v>
      </c>
      <c r="AF36" s="2">
        <f t="shared" si="25"/>
        <v>0.13124212814059699</v>
      </c>
      <c r="AG36" s="5">
        <f t="shared" si="26"/>
        <v>0.139165855077791</v>
      </c>
      <c r="AH36" s="2">
        <f t="shared" si="27"/>
        <v>36.675349734230601</v>
      </c>
      <c r="AI36" s="2">
        <f t="shared" si="28"/>
        <v>0.44304216154140103</v>
      </c>
      <c r="AJ36" s="2">
        <f t="shared" si="29"/>
        <v>0.28345203302744099</v>
      </c>
      <c r="AK36" s="2">
        <f t="shared" si="30"/>
        <v>0.157785356125305</v>
      </c>
      <c r="AL36" s="2">
        <f t="shared" si="31"/>
        <v>0.16113780656375601</v>
      </c>
      <c r="AM36" s="2">
        <f t="shared" si="32"/>
        <v>3.3060470884150099</v>
      </c>
      <c r="AN36" s="2">
        <f t="shared" si="33"/>
        <v>0.12080706796229999</v>
      </c>
      <c r="AO36" s="2">
        <f t="shared" si="34"/>
        <v>0.39228677938421702</v>
      </c>
      <c r="AP36" s="2">
        <f t="shared" si="35"/>
        <v>2.2910259842190701</v>
      </c>
      <c r="AQ36" s="2">
        <f t="shared" si="36"/>
        <v>0.1191490713751</v>
      </c>
      <c r="AR36" s="2">
        <f t="shared" si="37"/>
        <v>0.38483102239651701</v>
      </c>
      <c r="AS36" s="2">
        <f t="shared" si="38"/>
        <v>0.78621276148048103</v>
      </c>
      <c r="AT36" s="2">
        <f t="shared" si="39"/>
        <v>0.153854957530564</v>
      </c>
      <c r="AU36" s="2">
        <f t="shared" si="40"/>
        <v>0.34634893158600799</v>
      </c>
      <c r="AV36" s="2">
        <f t="shared" si="41"/>
        <v>0.15158237433327701</v>
      </c>
      <c r="AW36" s="2">
        <f t="shared" si="42"/>
        <v>0.50113846731956302</v>
      </c>
      <c r="AX36" s="2">
        <f t="shared" si="43"/>
        <v>-2.4169012866100001E-2</v>
      </c>
      <c r="AY36" s="5">
        <f t="shared" si="44"/>
        <v>1.00774297540973</v>
      </c>
      <c r="AZ36" s="2">
        <f t="shared" si="45"/>
        <v>0.12620879217847</v>
      </c>
      <c r="BA36" s="2">
        <f t="shared" si="46"/>
        <v>0.85647661321479995</v>
      </c>
      <c r="BB36" s="2">
        <f t="shared" si="47"/>
        <v>7.5260756446769897E-2</v>
      </c>
      <c r="BC36" s="2">
        <f t="shared" si="48"/>
        <v>0.76164959616384798</v>
      </c>
      <c r="BD36" s="2">
        <f t="shared" si="49"/>
        <v>9.8106222677428495E-2</v>
      </c>
      <c r="BE36" s="2">
        <f t="shared" si="50"/>
        <v>-4.9101267092195998E-2</v>
      </c>
      <c r="BF36" s="2">
        <f t="shared" si="51"/>
        <v>0.34265560614253499</v>
      </c>
    </row>
    <row r="37" spans="1:58" s="2" customFormat="1" x14ac:dyDescent="0.15">
      <c r="A37" s="3">
        <v>230</v>
      </c>
      <c r="B37" s="4">
        <v>5.1819035301800001E-2</v>
      </c>
      <c r="C37" s="4">
        <v>9.06979553987E-2</v>
      </c>
      <c r="D37" s="4">
        <v>8.8561299107999994E-2</v>
      </c>
      <c r="E37" s="4">
        <v>0.214595431181</v>
      </c>
      <c r="F37" s="4">
        <v>0.32321323143000003</v>
      </c>
      <c r="G37" s="2">
        <f t="shared" si="0"/>
        <v>3.5636220244346601</v>
      </c>
      <c r="H37" s="2">
        <f t="shared" si="1"/>
        <v>0.23251527603130001</v>
      </c>
      <c r="I37" s="2">
        <f t="shared" si="2"/>
        <v>0.56175161104676297</v>
      </c>
      <c r="J37" s="2">
        <f t="shared" si="3"/>
        <v>-0.40091865233270302</v>
      </c>
      <c r="K37" s="2">
        <f t="shared" si="4"/>
        <v>2.5636220244346601</v>
      </c>
      <c r="L37" s="2">
        <f t="shared" si="5"/>
        <v>1.2000494999545399</v>
      </c>
      <c r="M37" s="2">
        <f t="shared" si="6"/>
        <v>0.381626704075264</v>
      </c>
      <c r="N37" s="2">
        <f t="shared" si="7"/>
        <v>0.36207391155061402</v>
      </c>
      <c r="O37" s="2">
        <f t="shared" si="8"/>
        <v>0.46996421464914401</v>
      </c>
      <c r="P37" s="2">
        <f t="shared" si="9"/>
        <v>0.36140812235416803</v>
      </c>
      <c r="Q37" s="2">
        <f t="shared" si="10"/>
        <v>0.56985538181639805</v>
      </c>
      <c r="R37" s="2">
        <f t="shared" si="11"/>
        <v>3.6495990312409901</v>
      </c>
      <c r="S37" s="2">
        <f t="shared" si="12"/>
        <v>0.47605520525267597</v>
      </c>
      <c r="T37" s="2">
        <f t="shared" si="13"/>
        <v>-0.39086712330439899</v>
      </c>
      <c r="U37" s="2">
        <f t="shared" si="14"/>
        <v>0.38603611605087601</v>
      </c>
      <c r="V37" s="2">
        <f t="shared" si="15"/>
        <v>0.36673085525604199</v>
      </c>
      <c r="W37" s="2">
        <f t="shared" si="16"/>
        <v>0.23465193232199999</v>
      </c>
      <c r="X37" s="2">
        <f t="shared" si="17"/>
        <v>0.365674262817756</v>
      </c>
      <c r="Y37" s="2">
        <f t="shared" si="18"/>
        <v>1.03433813707917</v>
      </c>
      <c r="Z37" s="2">
        <f t="shared" si="19"/>
        <v>0.91039237625179703</v>
      </c>
      <c r="AA37" s="2">
        <f t="shared" si="20"/>
        <v>2.97362037053355</v>
      </c>
      <c r="AB37" s="2">
        <f t="shared" si="21"/>
        <v>0.205887265269</v>
      </c>
      <c r="AC37" s="2">
        <f t="shared" si="22"/>
        <v>1.5061515040242699</v>
      </c>
      <c r="AD37" s="2">
        <f t="shared" si="23"/>
        <v>0.108617800249</v>
      </c>
      <c r="AE37" s="2">
        <f t="shared" si="24"/>
        <v>0.20196364952857601</v>
      </c>
      <c r="AF37" s="2">
        <f t="shared" si="25"/>
        <v>0.148110929178281</v>
      </c>
      <c r="AG37" s="5">
        <f t="shared" si="26"/>
        <v>0.15699107768439399</v>
      </c>
      <c r="AH37" s="2">
        <f t="shared" si="27"/>
        <v>40.955772459955298</v>
      </c>
      <c r="AI37" s="2">
        <f t="shared" si="28"/>
        <v>0.506151504024271</v>
      </c>
      <c r="AJ37" s="2">
        <f t="shared" si="29"/>
        <v>0.31972520227082402</v>
      </c>
      <c r="AK37" s="2">
        <f t="shared" si="30"/>
        <v>0.17869187492807401</v>
      </c>
      <c r="AL37" s="2">
        <f t="shared" si="31"/>
        <v>0.18056045308666199</v>
      </c>
      <c r="AM37" s="2">
        <f t="shared" si="32"/>
        <v>3.6495990312409901</v>
      </c>
      <c r="AN37" s="2">
        <f t="shared" si="33"/>
        <v>0.12603413207299999</v>
      </c>
      <c r="AO37" s="2">
        <f t="shared" si="34"/>
        <v>0.41573918531464399</v>
      </c>
      <c r="AP37" s="2">
        <f t="shared" si="35"/>
        <v>2.4231287632682799</v>
      </c>
      <c r="AQ37" s="2">
        <f t="shared" si="36"/>
        <v>0.1238974757823</v>
      </c>
      <c r="AR37" s="2">
        <f t="shared" si="37"/>
        <v>0.40583085395449697</v>
      </c>
      <c r="AS37" s="2">
        <f t="shared" si="38"/>
        <v>0.86181257777129505</v>
      </c>
      <c r="AT37" s="2">
        <f t="shared" si="39"/>
        <v>0.144307080943578</v>
      </c>
      <c r="AU37" s="2">
        <f t="shared" si="40"/>
        <v>0.34143702712401403</v>
      </c>
      <c r="AV37" s="2">
        <f t="shared" si="41"/>
        <v>0.14138816437645499</v>
      </c>
      <c r="AW37" s="2">
        <f t="shared" si="42"/>
        <v>0.51601010773725298</v>
      </c>
      <c r="AX37" s="2">
        <f t="shared" si="43"/>
        <v>-1.5279675533299999E-2</v>
      </c>
      <c r="AY37" s="5">
        <f t="shared" si="44"/>
        <v>1.0091893157609699</v>
      </c>
      <c r="AZ37" s="2">
        <f t="shared" si="45"/>
        <v>0.14065646496696499</v>
      </c>
      <c r="BA37" s="2">
        <f t="shared" si="46"/>
        <v>0.81370183746420499</v>
      </c>
      <c r="BB37" s="2">
        <f t="shared" si="47"/>
        <v>9.3554216668206999E-2</v>
      </c>
      <c r="BC37" s="2">
        <f t="shared" si="48"/>
        <v>0.80237749796619295</v>
      </c>
      <c r="BD37" s="2">
        <f t="shared" si="49"/>
        <v>0.11380058427361101</v>
      </c>
      <c r="BE37" s="2">
        <f t="shared" si="50"/>
        <v>-3.6870429861828001E-2</v>
      </c>
      <c r="BF37" s="2">
        <f t="shared" si="51"/>
        <v>0.35952482477484698</v>
      </c>
    </row>
    <row r="38" spans="1:58" s="2" customFormat="1" x14ac:dyDescent="0.15">
      <c r="A38" s="3">
        <v>205</v>
      </c>
      <c r="B38" s="4">
        <v>4.67544449348E-2</v>
      </c>
      <c r="C38" s="4">
        <v>8.6216850880500004E-2</v>
      </c>
      <c r="D38" s="4">
        <v>8.1056458579200005E-2</v>
      </c>
      <c r="E38" s="4">
        <v>0.20191595537000001</v>
      </c>
      <c r="F38" s="4">
        <v>0.28255842406699999</v>
      </c>
      <c r="G38" s="2">
        <f t="shared" si="0"/>
        <v>3.2772992887276402</v>
      </c>
      <c r="H38" s="2">
        <f t="shared" si="1"/>
        <v>0.1963415731865</v>
      </c>
      <c r="I38" s="2">
        <f t="shared" si="2"/>
        <v>0.53241523096810595</v>
      </c>
      <c r="J38" s="2">
        <f t="shared" si="3"/>
        <v>-0.43546585351420802</v>
      </c>
      <c r="K38" s="2">
        <f t="shared" si="4"/>
        <v>2.2772992887276402</v>
      </c>
      <c r="L38" s="2">
        <f t="shared" si="5"/>
        <v>1.1011216221614399</v>
      </c>
      <c r="M38" s="2">
        <f t="shared" si="6"/>
        <v>0.33899717023777798</v>
      </c>
      <c r="N38" s="2">
        <f t="shared" si="7"/>
        <v>0.31382124749016099</v>
      </c>
      <c r="O38" s="2">
        <f t="shared" si="8"/>
        <v>0.43072404419619098</v>
      </c>
      <c r="P38" s="2">
        <f t="shared" si="9"/>
        <v>0.32331910558569199</v>
      </c>
      <c r="Q38" s="2">
        <f t="shared" si="10"/>
        <v>0.55416314101714803</v>
      </c>
      <c r="R38" s="2">
        <f t="shared" si="11"/>
        <v>3.4859458335564102</v>
      </c>
      <c r="S38" s="2">
        <f t="shared" si="12"/>
        <v>0.446401138914504</v>
      </c>
      <c r="T38" s="2">
        <f t="shared" si="13"/>
        <v>-0.41012547646359698</v>
      </c>
      <c r="U38" s="2">
        <f t="shared" si="14"/>
        <v>0.34998580305328603</v>
      </c>
      <c r="V38" s="2">
        <f t="shared" si="15"/>
        <v>0.32496279897577701</v>
      </c>
      <c r="W38" s="2">
        <f t="shared" si="16"/>
        <v>0.2015019654878</v>
      </c>
      <c r="X38" s="2">
        <f t="shared" si="17"/>
        <v>0.33416307712829102</v>
      </c>
      <c r="Y38" s="2">
        <f t="shared" si="18"/>
        <v>1.0267244718117701</v>
      </c>
      <c r="Z38" s="2">
        <f t="shared" si="19"/>
        <v>0.86706878115306996</v>
      </c>
      <c r="AA38" s="2">
        <f t="shared" si="20"/>
        <v>2.9484001297251199</v>
      </c>
      <c r="AB38" s="2">
        <f t="shared" si="21"/>
        <v>0.18180744132310001</v>
      </c>
      <c r="AC38" s="2">
        <f t="shared" si="22"/>
        <v>1.3993863117415699</v>
      </c>
      <c r="AD38" s="2">
        <f t="shared" si="23"/>
        <v>8.0642468696999994E-2</v>
      </c>
      <c r="AE38" s="2">
        <f t="shared" si="24"/>
        <v>0.16645352596501201</v>
      </c>
      <c r="AF38" s="2">
        <f t="shared" si="25"/>
        <v>0.115858634797493</v>
      </c>
      <c r="AG38" s="5">
        <f t="shared" si="26"/>
        <v>0.122871357114115</v>
      </c>
      <c r="AH38" s="2">
        <f t="shared" si="27"/>
        <v>33.603379176229097</v>
      </c>
      <c r="AI38" s="2">
        <f t="shared" si="28"/>
        <v>0.39938631174157102</v>
      </c>
      <c r="AJ38" s="2">
        <f t="shared" si="29"/>
        <v>0.25783572252802001</v>
      </c>
      <c r="AK38" s="2">
        <f t="shared" si="30"/>
        <v>0.140066718946361</v>
      </c>
      <c r="AL38" s="2">
        <f t="shared" si="31"/>
        <v>0.145149701327521</v>
      </c>
      <c r="AM38" s="2">
        <f t="shared" si="32"/>
        <v>3.4859458335564102</v>
      </c>
      <c r="AN38" s="2">
        <f t="shared" si="33"/>
        <v>0.12085949679080001</v>
      </c>
      <c r="AO38" s="2">
        <f t="shared" si="34"/>
        <v>0.42710699288340198</v>
      </c>
      <c r="AP38" s="2">
        <f t="shared" si="35"/>
        <v>2.49105325978076</v>
      </c>
      <c r="AQ38" s="2">
        <f t="shared" si="36"/>
        <v>0.11569910448949999</v>
      </c>
      <c r="AR38" s="2">
        <f t="shared" si="37"/>
        <v>0.401547834816533</v>
      </c>
      <c r="AS38" s="2">
        <f t="shared" si="38"/>
        <v>0.66724147326698602</v>
      </c>
      <c r="AT38" s="2">
        <f t="shared" si="39"/>
        <v>0.15107442746673</v>
      </c>
      <c r="AU38" s="2">
        <f t="shared" si="40"/>
        <v>0.35380945885162002</v>
      </c>
      <c r="AV38" s="2">
        <f t="shared" si="41"/>
        <v>0.14332809659599499</v>
      </c>
      <c r="AW38" s="2">
        <f t="shared" si="42"/>
        <v>0.49963398116037999</v>
      </c>
      <c r="AX38" s="2">
        <f t="shared" si="43"/>
        <v>-3.5056635792499999E-2</v>
      </c>
      <c r="AY38" s="5">
        <f t="shared" si="44"/>
        <v>1.02628272870361</v>
      </c>
      <c r="AZ38" s="2">
        <f t="shared" si="45"/>
        <v>0.109128039810415</v>
      </c>
      <c r="BA38" s="2">
        <f t="shared" si="46"/>
        <v>0.81103583142700297</v>
      </c>
      <c r="BB38" s="2">
        <f t="shared" si="47"/>
        <v>5.7898424851031097E-2</v>
      </c>
      <c r="BC38" s="2">
        <f t="shared" si="48"/>
        <v>0.69042971532800801</v>
      </c>
      <c r="BD38" s="2">
        <f t="shared" si="49"/>
        <v>7.2739950715410104E-2</v>
      </c>
      <c r="BE38" s="2">
        <f t="shared" si="50"/>
        <v>-6.4365448079940102E-2</v>
      </c>
      <c r="BF38" s="2">
        <f t="shared" si="51"/>
        <v>0.31263855029531201</v>
      </c>
    </row>
    <row r="39" spans="1:58" s="2" customFormat="1" x14ac:dyDescent="0.15">
      <c r="A39" s="3">
        <v>208</v>
      </c>
      <c r="B39" s="4">
        <v>5.2594590487199999E-2</v>
      </c>
      <c r="C39" s="4">
        <v>9.5840484144399996E-2</v>
      </c>
      <c r="D39" s="4">
        <v>9.3618485602700002E-2</v>
      </c>
      <c r="E39" s="4">
        <v>0.20787507256000001</v>
      </c>
      <c r="F39" s="4">
        <v>0.27997006300900001</v>
      </c>
      <c r="G39" s="2">
        <f t="shared" si="0"/>
        <v>2.9212087721424398</v>
      </c>
      <c r="H39" s="2">
        <f t="shared" si="1"/>
        <v>0.18412957886459999</v>
      </c>
      <c r="I39" s="2">
        <f t="shared" si="2"/>
        <v>0.48995319652229202</v>
      </c>
      <c r="J39" s="2">
        <f t="shared" si="3"/>
        <v>-0.48088358553100802</v>
      </c>
      <c r="K39" s="2">
        <f t="shared" si="4"/>
        <v>1.92120877214244</v>
      </c>
      <c r="L39" s="2">
        <f t="shared" si="5"/>
        <v>0.97020738973575105</v>
      </c>
      <c r="M39" s="2">
        <f t="shared" si="6"/>
        <v>0.31535857748527901</v>
      </c>
      <c r="N39" s="2">
        <f t="shared" si="7"/>
        <v>0.289976041146423</v>
      </c>
      <c r="O39" s="2">
        <f t="shared" si="8"/>
        <v>0.39863028568152897</v>
      </c>
      <c r="P39" s="2">
        <f t="shared" si="9"/>
        <v>0.30035791272915402</v>
      </c>
      <c r="Q39" s="2">
        <f t="shared" si="10"/>
        <v>0.49881501480386597</v>
      </c>
      <c r="R39" s="2">
        <f t="shared" si="11"/>
        <v>2.99054253234925</v>
      </c>
      <c r="S39" s="2">
        <f t="shared" si="12"/>
        <v>0.40512081894136798</v>
      </c>
      <c r="T39" s="2">
        <f t="shared" si="13"/>
        <v>-0.471816440268089</v>
      </c>
      <c r="U39" s="2">
        <f t="shared" si="14"/>
        <v>0.31997599619829298</v>
      </c>
      <c r="V39" s="2">
        <f t="shared" si="15"/>
        <v>0.29453196769955298</v>
      </c>
      <c r="W39" s="2">
        <f t="shared" si="16"/>
        <v>0.18635157740630001</v>
      </c>
      <c r="X39" s="2">
        <f t="shared" si="17"/>
        <v>0.30488516664909698</v>
      </c>
      <c r="Y39" s="2">
        <f t="shared" si="18"/>
        <v>0.99940733177412</v>
      </c>
      <c r="Z39" s="2">
        <f t="shared" si="19"/>
        <v>0.72931851674272197</v>
      </c>
      <c r="AA39" s="2">
        <f t="shared" si="20"/>
        <v>2.87638432811797</v>
      </c>
      <c r="AB39" s="2">
        <f t="shared" si="21"/>
        <v>0.18679427430584999</v>
      </c>
      <c r="AC39" s="2">
        <f t="shared" si="22"/>
        <v>1.3468188347989201</v>
      </c>
      <c r="AD39" s="2">
        <f t="shared" si="23"/>
        <v>7.2094990449000002E-2</v>
      </c>
      <c r="AE39" s="2">
        <f t="shared" si="24"/>
        <v>0.147782534235812</v>
      </c>
      <c r="AF39" s="2">
        <f t="shared" si="25"/>
        <v>0.103220058100448</v>
      </c>
      <c r="AG39" s="5">
        <f t="shared" si="26"/>
        <v>0.10947311656417701</v>
      </c>
      <c r="AH39" s="2">
        <f t="shared" si="27"/>
        <v>29.774539305917799</v>
      </c>
      <c r="AI39" s="2">
        <f t="shared" si="28"/>
        <v>0.34681883479891901</v>
      </c>
      <c r="AJ39" s="2">
        <f t="shared" si="29"/>
        <v>0.226392946726031</v>
      </c>
      <c r="AK39" s="2">
        <f t="shared" si="30"/>
        <v>0.12379109804651101</v>
      </c>
      <c r="AL39" s="2">
        <f t="shared" si="31"/>
        <v>0.12908978447046299</v>
      </c>
      <c r="AM39" s="2">
        <f t="shared" si="32"/>
        <v>2.99054253234925</v>
      </c>
      <c r="AN39" s="2">
        <f t="shared" si="33"/>
        <v>0.1142565869573</v>
      </c>
      <c r="AO39" s="2">
        <f t="shared" si="34"/>
        <v>0.37896858444863302</v>
      </c>
      <c r="AP39" s="2">
        <f t="shared" si="35"/>
        <v>2.2204489980983499</v>
      </c>
      <c r="AQ39" s="2">
        <f t="shared" si="36"/>
        <v>0.1120345884156</v>
      </c>
      <c r="AR39" s="2">
        <f t="shared" si="37"/>
        <v>0.36887997977871401</v>
      </c>
      <c r="AS39" s="2">
        <f t="shared" si="38"/>
        <v>0.63099198364767695</v>
      </c>
      <c r="AT39" s="2">
        <f t="shared" si="39"/>
        <v>0.164198809954337</v>
      </c>
      <c r="AU39" s="2">
        <f t="shared" si="40"/>
        <v>0.356142186031704</v>
      </c>
      <c r="AV39" s="2">
        <f t="shared" si="41"/>
        <v>0.16100488868770599</v>
      </c>
      <c r="AW39" s="2">
        <f t="shared" si="42"/>
        <v>0.48149196753674101</v>
      </c>
      <c r="AX39" s="2">
        <f t="shared" si="43"/>
        <v>-3.9939597966600002E-2</v>
      </c>
      <c r="AY39" s="5">
        <f t="shared" si="44"/>
        <v>1.01206758064294</v>
      </c>
      <c r="AZ39" s="2">
        <f t="shared" si="45"/>
        <v>9.9665889753059705E-2</v>
      </c>
      <c r="BA39" s="2">
        <f t="shared" si="46"/>
        <v>0.89064102912977405</v>
      </c>
      <c r="BB39" s="2">
        <f t="shared" si="47"/>
        <v>4.75010540596741E-2</v>
      </c>
      <c r="BC39" s="2">
        <f t="shared" si="48"/>
        <v>0.67918958715122302</v>
      </c>
      <c r="BD39" s="2">
        <f t="shared" si="49"/>
        <v>6.5695882739823894E-2</v>
      </c>
      <c r="BE39" s="2">
        <f t="shared" si="50"/>
        <v>-7.0957171681775996E-2</v>
      </c>
      <c r="BF39" s="2">
        <f t="shared" si="51"/>
        <v>0.30162581912880299</v>
      </c>
    </row>
    <row r="40" spans="1:58" s="2" customFormat="1" x14ac:dyDescent="0.15">
      <c r="A40" s="3">
        <v>197</v>
      </c>
      <c r="B40" s="4">
        <v>5.5886109165600002E-2</v>
      </c>
      <c r="C40" s="4">
        <v>9.9880596146199999E-2</v>
      </c>
      <c r="D40" s="4">
        <v>0.101051283992</v>
      </c>
      <c r="E40" s="4">
        <v>0.21368543928200001</v>
      </c>
      <c r="F40" s="4">
        <v>0.28971802696900001</v>
      </c>
      <c r="G40" s="2">
        <f t="shared" si="0"/>
        <v>2.9006437501126401</v>
      </c>
      <c r="H40" s="2">
        <f t="shared" si="1"/>
        <v>0.1898374308228</v>
      </c>
      <c r="I40" s="2">
        <f t="shared" si="2"/>
        <v>0.48726412148193698</v>
      </c>
      <c r="J40" s="2">
        <f t="shared" si="3"/>
        <v>-0.48359450467689902</v>
      </c>
      <c r="K40" s="2">
        <f t="shared" si="4"/>
        <v>1.9006437501126401</v>
      </c>
      <c r="L40" s="2">
        <f t="shared" si="5"/>
        <v>0.96234895290054301</v>
      </c>
      <c r="M40" s="2">
        <f t="shared" si="6"/>
        <v>0.320095084271871</v>
      </c>
      <c r="N40" s="2">
        <f t="shared" si="7"/>
        <v>0.29577501358161501</v>
      </c>
      <c r="O40" s="2">
        <f t="shared" si="8"/>
        <v>0.40067680393058402</v>
      </c>
      <c r="P40" s="2">
        <f t="shared" si="9"/>
        <v>0.30413971946173002</v>
      </c>
      <c r="Q40" s="2">
        <f t="shared" si="10"/>
        <v>0.48280849515285901</v>
      </c>
      <c r="R40" s="2">
        <f t="shared" si="11"/>
        <v>2.86703954194126</v>
      </c>
      <c r="S40" s="2">
        <f t="shared" si="12"/>
        <v>0.39735950696210298</v>
      </c>
      <c r="T40" s="2">
        <f t="shared" si="13"/>
        <v>-0.48804569743023501</v>
      </c>
      <c r="U40" s="2">
        <f t="shared" si="14"/>
        <v>0.31770303599726302</v>
      </c>
      <c r="V40" s="2">
        <f t="shared" si="15"/>
        <v>0.29341058579386498</v>
      </c>
      <c r="W40" s="2">
        <f t="shared" si="16"/>
        <v>0.18866674297700001</v>
      </c>
      <c r="X40" s="2">
        <f t="shared" si="17"/>
        <v>0.30181104396976</v>
      </c>
      <c r="Y40" s="2">
        <f t="shared" si="18"/>
        <v>0.99136698308590998</v>
      </c>
      <c r="Z40" s="2">
        <f t="shared" si="19"/>
        <v>0.69323345760153898</v>
      </c>
      <c r="AA40" s="2">
        <f t="shared" si="20"/>
        <v>2.8521990994788999</v>
      </c>
      <c r="AB40" s="2">
        <f t="shared" si="21"/>
        <v>0.19538465548049999</v>
      </c>
      <c r="AC40" s="2">
        <f t="shared" si="22"/>
        <v>1.3558154825264399</v>
      </c>
      <c r="AD40" s="2">
        <f t="shared" si="23"/>
        <v>7.6032587686999997E-2</v>
      </c>
      <c r="AE40" s="2">
        <f t="shared" si="24"/>
        <v>0.15103707619106799</v>
      </c>
      <c r="AF40" s="2">
        <f t="shared" si="25"/>
        <v>0.107162212274129</v>
      </c>
      <c r="AG40" s="5">
        <f t="shared" si="26"/>
        <v>0.113662036624827</v>
      </c>
      <c r="AH40" s="2">
        <f t="shared" si="27"/>
        <v>30.440310542617802</v>
      </c>
      <c r="AI40" s="2">
        <f t="shared" si="28"/>
        <v>0.35581548252644402</v>
      </c>
      <c r="AJ40" s="2">
        <f t="shared" si="29"/>
        <v>0.23182176374169</v>
      </c>
      <c r="AK40" s="2">
        <f t="shared" si="30"/>
        <v>0.128034138723817</v>
      </c>
      <c r="AL40" s="2">
        <f t="shared" si="31"/>
        <v>0.13294745385540399</v>
      </c>
      <c r="AM40" s="2">
        <f t="shared" si="32"/>
        <v>2.86703954194126</v>
      </c>
      <c r="AN40" s="2">
        <f t="shared" si="33"/>
        <v>0.11263415529</v>
      </c>
      <c r="AO40" s="2">
        <f t="shared" si="34"/>
        <v>0.35786785259228898</v>
      </c>
      <c r="AP40" s="2">
        <f t="shared" si="35"/>
        <v>2.11462369245023</v>
      </c>
      <c r="AQ40" s="2">
        <f t="shared" si="36"/>
        <v>0.1138048431358</v>
      </c>
      <c r="AR40" s="2">
        <f t="shared" si="37"/>
        <v>0.362937404812961</v>
      </c>
      <c r="AS40" s="2">
        <f t="shared" si="38"/>
        <v>0.67504024415363495</v>
      </c>
      <c r="AT40" s="2">
        <f t="shared" si="39"/>
        <v>0.16556146991404999</v>
      </c>
      <c r="AU40" s="2">
        <f t="shared" si="40"/>
        <v>0.35420368712029798</v>
      </c>
      <c r="AV40" s="2">
        <f t="shared" si="41"/>
        <v>0.16717758269146801</v>
      </c>
      <c r="AW40" s="2">
        <f t="shared" si="42"/>
        <v>0.47930474010259499</v>
      </c>
      <c r="AX40" s="2">
        <f t="shared" si="43"/>
        <v>-3.7772255448800002E-2</v>
      </c>
      <c r="AY40" s="5">
        <f t="shared" si="44"/>
        <v>0.99383320854730295</v>
      </c>
      <c r="AZ40" s="2">
        <f t="shared" si="45"/>
        <v>0.10428415968190299</v>
      </c>
      <c r="BA40" s="2">
        <f t="shared" si="46"/>
        <v>0.908285188303533</v>
      </c>
      <c r="BB40" s="2">
        <f t="shared" si="47"/>
        <v>5.1609253988065103E-2</v>
      </c>
      <c r="BC40" s="2">
        <f t="shared" si="48"/>
        <v>0.70422965518406799</v>
      </c>
      <c r="BD40" s="2">
        <f t="shared" si="49"/>
        <v>7.4619388361367597E-2</v>
      </c>
      <c r="BE40" s="2">
        <f t="shared" si="50"/>
        <v>-6.8048629022568002E-2</v>
      </c>
      <c r="BF40" s="2">
        <f t="shared" si="51"/>
        <v>0.30996962331581601</v>
      </c>
    </row>
    <row r="41" spans="1:58" s="2" customFormat="1" x14ac:dyDescent="0.15">
      <c r="A41" s="3">
        <v>207</v>
      </c>
      <c r="B41" s="4">
        <v>4.33270836608E-2</v>
      </c>
      <c r="C41" s="4">
        <v>8.4750495291200004E-2</v>
      </c>
      <c r="D41" s="4">
        <v>8.2698948197499997E-2</v>
      </c>
      <c r="E41" s="4">
        <v>0.203693154387</v>
      </c>
      <c r="F41" s="4">
        <v>0.28629838092999998</v>
      </c>
      <c r="G41" s="2">
        <f t="shared" si="0"/>
        <v>3.3781322450835001</v>
      </c>
      <c r="H41" s="2">
        <f t="shared" si="1"/>
        <v>0.2015478856388</v>
      </c>
      <c r="I41" s="2">
        <f t="shared" si="2"/>
        <v>0.54318419635543602</v>
      </c>
      <c r="J41" s="2">
        <f t="shared" si="3"/>
        <v>-0.42310683108541303</v>
      </c>
      <c r="K41" s="2">
        <f t="shared" si="4"/>
        <v>2.3781322450835001</v>
      </c>
      <c r="L41" s="2">
        <f t="shared" si="5"/>
        <v>1.13655789662147</v>
      </c>
      <c r="M41" s="2">
        <f t="shared" si="6"/>
        <v>0.347077915730444</v>
      </c>
      <c r="N41" s="2">
        <f t="shared" si="7"/>
        <v>0.322434852965644</v>
      </c>
      <c r="O41" s="2">
        <f t="shared" si="8"/>
        <v>0.44025240954209999</v>
      </c>
      <c r="P41" s="2">
        <f t="shared" si="9"/>
        <v>0.33087403386764702</v>
      </c>
      <c r="Q41" s="2">
        <f t="shared" si="10"/>
        <v>0.55176397404803501</v>
      </c>
      <c r="R41" s="2">
        <f t="shared" si="11"/>
        <v>3.4619349722111101</v>
      </c>
      <c r="S41" s="2">
        <f t="shared" si="12"/>
        <v>0.446458477133023</v>
      </c>
      <c r="T41" s="2">
        <f t="shared" si="13"/>
        <v>-0.41299597727949899</v>
      </c>
      <c r="U41" s="2">
        <f t="shared" si="14"/>
        <v>0.35143853595658398</v>
      </c>
      <c r="V41" s="2">
        <f t="shared" si="15"/>
        <v>0.32687887939775201</v>
      </c>
      <c r="W41" s="2">
        <f t="shared" si="16"/>
        <v>0.2035994327325</v>
      </c>
      <c r="X41" s="2">
        <f t="shared" si="17"/>
        <v>0.33516985562309998</v>
      </c>
      <c r="Y41" s="2">
        <f t="shared" si="18"/>
        <v>1.0255554465985901</v>
      </c>
      <c r="Z41" s="2">
        <f t="shared" si="19"/>
        <v>0.86062757482820995</v>
      </c>
      <c r="AA41" s="2">
        <f t="shared" si="20"/>
        <v>2.9451002513654201</v>
      </c>
      <c r="AB41" s="2">
        <f t="shared" si="21"/>
        <v>0.18449866456375</v>
      </c>
      <c r="AC41" s="2">
        <f t="shared" si="22"/>
        <v>1.40553756846466</v>
      </c>
      <c r="AD41" s="2">
        <f t="shared" si="23"/>
        <v>8.2605226542999996E-2</v>
      </c>
      <c r="AE41" s="2">
        <f t="shared" si="24"/>
        <v>0.16858500726866299</v>
      </c>
      <c r="AF41" s="2">
        <f t="shared" si="25"/>
        <v>0.11800848578463</v>
      </c>
      <c r="AG41" s="5">
        <f t="shared" si="26"/>
        <v>0.12516050430150799</v>
      </c>
      <c r="AH41" s="2">
        <f t="shared" si="27"/>
        <v>34.0419840615656</v>
      </c>
      <c r="AI41" s="2">
        <f t="shared" si="28"/>
        <v>0.40553756846465699</v>
      </c>
      <c r="AJ41" s="2">
        <f t="shared" si="29"/>
        <v>0.26147189892478001</v>
      </c>
      <c r="AK41" s="2">
        <f t="shared" si="30"/>
        <v>0.142587135381541</v>
      </c>
      <c r="AL41" s="2">
        <f t="shared" si="31"/>
        <v>0.147420477934605</v>
      </c>
      <c r="AM41" s="2">
        <f t="shared" si="32"/>
        <v>3.4619349722111101</v>
      </c>
      <c r="AN41" s="2">
        <f t="shared" si="33"/>
        <v>0.12099420618950001</v>
      </c>
      <c r="AO41" s="2">
        <f t="shared" si="34"/>
        <v>0.42247745345492099</v>
      </c>
      <c r="AP41" s="2">
        <f t="shared" si="35"/>
        <v>2.4630682593512998</v>
      </c>
      <c r="AQ41" s="2">
        <f t="shared" si="36"/>
        <v>0.1189426590958</v>
      </c>
      <c r="AR41" s="2">
        <f t="shared" si="37"/>
        <v>0.41236012381793602</v>
      </c>
      <c r="AS41" s="2">
        <f t="shared" si="38"/>
        <v>0.68272051319237903</v>
      </c>
      <c r="AT41" s="2">
        <f t="shared" si="39"/>
        <v>0.147458321782237</v>
      </c>
      <c r="AU41" s="2">
        <f t="shared" si="40"/>
        <v>0.35440796659929202</v>
      </c>
      <c r="AV41" s="2">
        <f t="shared" si="41"/>
        <v>0.144404264743481</v>
      </c>
      <c r="AW41" s="2">
        <f t="shared" si="42"/>
        <v>0.499918174251888</v>
      </c>
      <c r="AX41" s="2">
        <f t="shared" si="43"/>
        <v>-3.6337432552800003E-2</v>
      </c>
      <c r="AY41" s="5">
        <f t="shared" si="44"/>
        <v>1.01017895616815</v>
      </c>
      <c r="AZ41" s="2">
        <f t="shared" si="45"/>
        <v>0.110268001661771</v>
      </c>
      <c r="BA41" s="2">
        <f t="shared" si="46"/>
        <v>0.78662606827970705</v>
      </c>
      <c r="BB41" s="2">
        <f t="shared" si="47"/>
        <v>5.9448124235730003E-2</v>
      </c>
      <c r="BC41" s="2">
        <f t="shared" si="48"/>
        <v>0.70032274741477696</v>
      </c>
      <c r="BD41" s="2">
        <f t="shared" si="49"/>
        <v>7.6115688654826999E-2</v>
      </c>
      <c r="BE41" s="2">
        <f t="shared" si="50"/>
        <v>-6.6599021967527997E-2</v>
      </c>
      <c r="BF41" s="2">
        <f t="shared" si="51"/>
        <v>0.310364344912474</v>
      </c>
    </row>
    <row r="42" spans="1:58" s="2" customFormat="1" x14ac:dyDescent="0.15">
      <c r="A42" s="3">
        <v>182</v>
      </c>
      <c r="B42" s="4">
        <v>3.3481988797300001E-2</v>
      </c>
      <c r="C42" s="4">
        <v>7.0227264742600007E-2</v>
      </c>
      <c r="D42" s="4">
        <v>5.8821853823899997E-2</v>
      </c>
      <c r="E42" s="4">
        <v>0.19738980782900001</v>
      </c>
      <c r="F42" s="4">
        <v>0.301259928994</v>
      </c>
      <c r="G42" s="2">
        <f t="shared" si="0"/>
        <v>4.2897858844167001</v>
      </c>
      <c r="H42" s="2">
        <f t="shared" si="1"/>
        <v>0.23103266425140001</v>
      </c>
      <c r="I42" s="2">
        <f t="shared" si="2"/>
        <v>0.62191286307223803</v>
      </c>
      <c r="J42" s="2">
        <f t="shared" si="3"/>
        <v>-0.320328706333597</v>
      </c>
      <c r="K42" s="2">
        <f t="shared" si="4"/>
        <v>3.2897858844167001</v>
      </c>
      <c r="L42" s="2">
        <f t="shared" si="5"/>
        <v>1.43037063667856</v>
      </c>
      <c r="M42" s="2">
        <f t="shared" si="6"/>
        <v>0.39765242549489699</v>
      </c>
      <c r="N42" s="2">
        <f t="shared" si="7"/>
        <v>0.377052261325593</v>
      </c>
      <c r="O42" s="2">
        <f t="shared" si="8"/>
        <v>0.504241482560427</v>
      </c>
      <c r="P42" s="2">
        <f t="shared" si="9"/>
        <v>0.37905433078622802</v>
      </c>
      <c r="Q42" s="2">
        <f t="shared" si="10"/>
        <v>0.67328614425547195</v>
      </c>
      <c r="R42" s="2">
        <f t="shared" si="11"/>
        <v>5.1215646806356601</v>
      </c>
      <c r="S42" s="2">
        <f t="shared" si="12"/>
        <v>0.54073835402111103</v>
      </c>
      <c r="T42" s="2">
        <f t="shared" si="13"/>
        <v>-0.23870628000027799</v>
      </c>
      <c r="U42" s="2">
        <f t="shared" si="14"/>
        <v>0.42281689953215201</v>
      </c>
      <c r="V42" s="2">
        <f t="shared" si="15"/>
        <v>0.40484937985173802</v>
      </c>
      <c r="W42" s="2">
        <f t="shared" si="16"/>
        <v>0.24243807517009999</v>
      </c>
      <c r="X42" s="2">
        <f t="shared" si="17"/>
        <v>0.40401756997931998</v>
      </c>
      <c r="Y42" s="2">
        <f t="shared" si="18"/>
        <v>1.0831833382467999</v>
      </c>
      <c r="Z42" s="2">
        <f t="shared" si="19"/>
        <v>1.2630874222255899</v>
      </c>
      <c r="AA42" s="2">
        <f t="shared" si="20"/>
        <v>3.1083539908895399</v>
      </c>
      <c r="AB42" s="2">
        <f t="shared" si="21"/>
        <v>0.18004089140894999</v>
      </c>
      <c r="AC42" s="2">
        <f t="shared" si="22"/>
        <v>1.52621825973397</v>
      </c>
      <c r="AD42" s="2">
        <f t="shared" si="23"/>
        <v>0.103870121165</v>
      </c>
      <c r="AE42" s="2">
        <f t="shared" si="24"/>
        <v>0.20830276944850701</v>
      </c>
      <c r="AF42" s="2">
        <f t="shared" si="25"/>
        <v>0.147093282992873</v>
      </c>
      <c r="AG42" s="5">
        <f t="shared" si="26"/>
        <v>0.156015844196948</v>
      </c>
      <c r="AH42" s="2">
        <f t="shared" si="27"/>
        <v>42.279294998343602</v>
      </c>
      <c r="AI42" s="2">
        <f t="shared" si="28"/>
        <v>0.52621825973397396</v>
      </c>
      <c r="AJ42" s="2">
        <f t="shared" si="29"/>
        <v>0.33107811893412797</v>
      </c>
      <c r="AK42" s="2">
        <f t="shared" si="30"/>
        <v>0.18115158913962001</v>
      </c>
      <c r="AL42" s="2">
        <f t="shared" si="31"/>
        <v>0.18293386274255699</v>
      </c>
      <c r="AM42" s="2">
        <f t="shared" si="32"/>
        <v>5.1215646806356601</v>
      </c>
      <c r="AN42" s="2">
        <f t="shared" si="33"/>
        <v>0.1385679540051</v>
      </c>
      <c r="AO42" s="2">
        <f t="shared" si="34"/>
        <v>0.54083390705620404</v>
      </c>
      <c r="AP42" s="2">
        <f t="shared" si="35"/>
        <v>3.3557223208221698</v>
      </c>
      <c r="AQ42" s="2">
        <f t="shared" si="36"/>
        <v>0.12716254308639999</v>
      </c>
      <c r="AR42" s="2">
        <f t="shared" si="37"/>
        <v>0.47516603430589499</v>
      </c>
      <c r="AS42" s="2">
        <f t="shared" si="38"/>
        <v>0.74959698951156495</v>
      </c>
      <c r="AT42" s="2">
        <f t="shared" si="39"/>
        <v>0.12344894335564301</v>
      </c>
      <c r="AU42" s="2">
        <f t="shared" si="40"/>
        <v>0.346981521991161</v>
      </c>
      <c r="AV42" s="2">
        <f t="shared" si="41"/>
        <v>0.10551542860801599</v>
      </c>
      <c r="AW42" s="2">
        <f t="shared" si="42"/>
        <v>0.540404092420948</v>
      </c>
      <c r="AX42" s="2">
        <f t="shared" si="43"/>
        <v>-2.3292421921399999E-2</v>
      </c>
      <c r="AY42" s="5">
        <f t="shared" si="44"/>
        <v>1.04936709255229</v>
      </c>
      <c r="AZ42" s="2">
        <f t="shared" si="45"/>
        <v>0.132562182750389</v>
      </c>
      <c r="BA42" s="2">
        <f t="shared" si="46"/>
        <v>0.68209916170036</v>
      </c>
      <c r="BB42" s="2">
        <f t="shared" si="47"/>
        <v>8.8007221407708294E-2</v>
      </c>
      <c r="BC42" s="2">
        <f t="shared" si="48"/>
        <v>0.74792865090007199</v>
      </c>
      <c r="BD42" s="2">
        <f t="shared" si="49"/>
        <v>8.9602313187381294E-2</v>
      </c>
      <c r="BE42" s="2">
        <f t="shared" si="50"/>
        <v>-4.8800592737184102E-2</v>
      </c>
      <c r="BF42" s="2">
        <f t="shared" si="51"/>
        <v>0.33493883438830202</v>
      </c>
    </row>
    <row r="43" spans="1:58" s="2" customFormat="1" x14ac:dyDescent="0.15">
      <c r="A43" s="3">
        <v>194</v>
      </c>
      <c r="B43" s="4">
        <v>4.7982287905400003E-2</v>
      </c>
      <c r="C43" s="4">
        <v>9.2049560603500002E-2</v>
      </c>
      <c r="D43" s="4">
        <v>9.0656038551099993E-2</v>
      </c>
      <c r="E43" s="4">
        <v>0.21068412102799999</v>
      </c>
      <c r="F43" s="4">
        <v>0.29042713108700002</v>
      </c>
      <c r="G43" s="2">
        <f t="shared" si="0"/>
        <v>3.1551169737572602</v>
      </c>
      <c r="H43" s="2">
        <f t="shared" si="1"/>
        <v>0.19837757048349999</v>
      </c>
      <c r="I43" s="2">
        <f t="shared" si="2"/>
        <v>0.51866577700903904</v>
      </c>
      <c r="J43" s="2">
        <f t="shared" si="3"/>
        <v>-0.45073236347465601</v>
      </c>
      <c r="K43" s="2">
        <f t="shared" si="4"/>
        <v>2.1551169737572602</v>
      </c>
      <c r="L43" s="2">
        <f t="shared" si="5"/>
        <v>1.0572537158786299</v>
      </c>
      <c r="M43" s="2">
        <f t="shared" si="6"/>
        <v>0.337194578085935</v>
      </c>
      <c r="N43" s="2">
        <f t="shared" si="7"/>
        <v>0.31291282911120999</v>
      </c>
      <c r="O43" s="2">
        <f t="shared" si="8"/>
        <v>0.42419883708505901</v>
      </c>
      <c r="P43" s="2">
        <f t="shared" si="9"/>
        <v>0.32076729374421897</v>
      </c>
      <c r="Q43" s="2">
        <f t="shared" si="10"/>
        <v>0.52421914283334803</v>
      </c>
      <c r="R43" s="2">
        <f t="shared" si="11"/>
        <v>3.2036159502303301</v>
      </c>
      <c r="S43" s="2">
        <f t="shared" si="12"/>
        <v>0.42827883095428398</v>
      </c>
      <c r="T43" s="2">
        <f t="shared" si="13"/>
        <v>-0.44463378116874902</v>
      </c>
      <c r="U43" s="2">
        <f t="shared" si="14"/>
        <v>0.34010028693083799</v>
      </c>
      <c r="V43" s="2">
        <f t="shared" si="15"/>
        <v>0.31584008481769299</v>
      </c>
      <c r="W43" s="2">
        <f t="shared" si="16"/>
        <v>0.1997710925359</v>
      </c>
      <c r="X43" s="2">
        <f t="shared" si="17"/>
        <v>0.32361061616092102</v>
      </c>
      <c r="Y43" s="2">
        <f t="shared" si="18"/>
        <v>1.0120371252248299</v>
      </c>
      <c r="Z43" s="2">
        <f t="shared" si="19"/>
        <v>0.78986478546015704</v>
      </c>
      <c r="AA43" s="2">
        <f t="shared" si="20"/>
        <v>2.9081419047814099</v>
      </c>
      <c r="AB43" s="2">
        <f t="shared" si="21"/>
        <v>0.19054158481905001</v>
      </c>
      <c r="AC43" s="2">
        <f t="shared" si="22"/>
        <v>1.37849558699491</v>
      </c>
      <c r="AD43" s="2">
        <f t="shared" si="23"/>
        <v>7.9743010059000002E-2</v>
      </c>
      <c r="AE43" s="2">
        <f t="shared" si="24"/>
        <v>0.15913234780188101</v>
      </c>
      <c r="AF43" s="2">
        <f t="shared" si="25"/>
        <v>0.112648534883849</v>
      </c>
      <c r="AG43" s="5">
        <f t="shared" si="26"/>
        <v>0.119481740751386</v>
      </c>
      <c r="AH43" s="2">
        <f t="shared" si="27"/>
        <v>32.0992750167133</v>
      </c>
      <c r="AI43" s="2">
        <f t="shared" si="28"/>
        <v>0.37849558699491198</v>
      </c>
      <c r="AJ43" s="2">
        <f t="shared" si="29"/>
        <v>0.24541982680939101</v>
      </c>
      <c r="AK43" s="2">
        <f t="shared" si="30"/>
        <v>0.13575848366009599</v>
      </c>
      <c r="AL43" s="2">
        <f t="shared" si="31"/>
        <v>0.13991879789144701</v>
      </c>
      <c r="AM43" s="2">
        <f t="shared" si="32"/>
        <v>3.2036159502303301</v>
      </c>
      <c r="AN43" s="2">
        <f t="shared" si="33"/>
        <v>0.1200280824769</v>
      </c>
      <c r="AO43" s="2">
        <f t="shared" si="34"/>
        <v>0.39831425935577403</v>
      </c>
      <c r="AP43" s="2">
        <f t="shared" si="35"/>
        <v>2.3239943460494801</v>
      </c>
      <c r="AQ43" s="2">
        <f t="shared" si="36"/>
        <v>0.1186345604245</v>
      </c>
      <c r="AR43" s="2">
        <f t="shared" si="37"/>
        <v>0.39187763906926898</v>
      </c>
      <c r="AS43" s="2">
        <f t="shared" si="38"/>
        <v>0.66436960762367403</v>
      </c>
      <c r="AT43" s="2">
        <f t="shared" si="39"/>
        <v>0.15518483121234899</v>
      </c>
      <c r="AU43" s="2">
        <f t="shared" si="40"/>
        <v>0.35518887375991498</v>
      </c>
      <c r="AV43" s="2">
        <f t="shared" si="41"/>
        <v>0.15319541985677601</v>
      </c>
      <c r="AW43" s="2">
        <f t="shared" si="42"/>
        <v>0.49077929055539998</v>
      </c>
      <c r="AX43" s="2">
        <f t="shared" si="43"/>
        <v>-3.8891550365500002E-2</v>
      </c>
      <c r="AY43" s="5">
        <f t="shared" si="44"/>
        <v>1.0070245948118199</v>
      </c>
      <c r="AZ43" s="2">
        <f t="shared" si="45"/>
        <v>0.106942273632274</v>
      </c>
      <c r="BA43" s="2">
        <f t="shared" si="46"/>
        <v>0.83227771287581898</v>
      </c>
      <c r="BB43" s="2">
        <f t="shared" si="47"/>
        <v>5.5232866365967102E-2</v>
      </c>
      <c r="BC43" s="2">
        <f t="shared" si="48"/>
        <v>0.70817722422571205</v>
      </c>
      <c r="BD43" s="2">
        <f t="shared" si="49"/>
        <v>7.3998888495065807E-2</v>
      </c>
      <c r="BE43" s="2">
        <f t="shared" si="50"/>
        <v>-7.023997977726E-2</v>
      </c>
      <c r="BF43" s="2">
        <f t="shared" si="51"/>
        <v>0.30681096547287201</v>
      </c>
    </row>
    <row r="44" spans="1:58" s="2" customFormat="1" x14ac:dyDescent="0.15">
      <c r="A44" s="3">
        <v>229.5</v>
      </c>
      <c r="B44" s="4">
        <v>4.1574451900400003E-2</v>
      </c>
      <c r="C44" s="4">
        <v>7.30377665082E-2</v>
      </c>
      <c r="D44" s="4">
        <v>6.3809155538500001E-2</v>
      </c>
      <c r="E44" s="4">
        <v>0.21074032962700001</v>
      </c>
      <c r="F44" s="4">
        <v>0.35111701175299997</v>
      </c>
      <c r="G44" s="2">
        <f t="shared" si="0"/>
        <v>4.8073350067951504</v>
      </c>
      <c r="H44" s="2">
        <f t="shared" si="1"/>
        <v>0.27807924524479999</v>
      </c>
      <c r="I44" s="2">
        <f t="shared" si="2"/>
        <v>0.65560795138220795</v>
      </c>
      <c r="J44" s="2">
        <f t="shared" si="3"/>
        <v>-0.26832716839604198</v>
      </c>
      <c r="K44" s="2">
        <f t="shared" si="4"/>
        <v>3.8073350067951499</v>
      </c>
      <c r="L44" s="2">
        <f t="shared" si="5"/>
        <v>1.5799111063698299</v>
      </c>
      <c r="M44" s="2">
        <f t="shared" si="6"/>
        <v>0.451351740724655</v>
      </c>
      <c r="N44" s="2">
        <f t="shared" si="7"/>
        <v>0.44094427106225598</v>
      </c>
      <c r="O44" s="2">
        <f t="shared" si="8"/>
        <v>0.55220283474208398</v>
      </c>
      <c r="P44" s="2">
        <f t="shared" si="9"/>
        <v>0.42697888038737197</v>
      </c>
      <c r="Q44" s="2">
        <f t="shared" si="10"/>
        <v>0.69243127781009794</v>
      </c>
      <c r="R44" s="2">
        <f t="shared" si="11"/>
        <v>5.5026117927724201</v>
      </c>
      <c r="S44" s="2">
        <f t="shared" si="12"/>
        <v>0.57968680531432704</v>
      </c>
      <c r="T44" s="2">
        <f t="shared" si="13"/>
        <v>-0.20459184499220701</v>
      </c>
      <c r="U44" s="2">
        <f t="shared" si="14"/>
        <v>0.47103449407021197</v>
      </c>
      <c r="V44" s="2">
        <f t="shared" si="15"/>
        <v>0.46409704422373099</v>
      </c>
      <c r="W44" s="2">
        <f t="shared" si="16"/>
        <v>0.2873078562145</v>
      </c>
      <c r="X44" s="2">
        <f t="shared" si="17"/>
        <v>0.44602796549486201</v>
      </c>
      <c r="Y44" s="2">
        <f t="shared" si="18"/>
        <v>1.09198501720953</v>
      </c>
      <c r="Z44" s="2">
        <f t="shared" si="19"/>
        <v>1.34576464991107</v>
      </c>
      <c r="AA44" s="2">
        <f t="shared" si="20"/>
        <v>3.1699718826718599</v>
      </c>
      <c r="AB44" s="2">
        <f t="shared" si="21"/>
        <v>0.20746308364575</v>
      </c>
      <c r="AC44" s="2">
        <f t="shared" si="22"/>
        <v>1.6661120933732001</v>
      </c>
      <c r="AD44" s="2">
        <f t="shared" si="23"/>
        <v>0.14037668212599999</v>
      </c>
      <c r="AE44" s="2">
        <f t="shared" si="24"/>
        <v>0.24984399381739</v>
      </c>
      <c r="AF44" s="2">
        <f t="shared" si="25"/>
        <v>0.18727592184045999</v>
      </c>
      <c r="AG44" s="5">
        <f t="shared" si="26"/>
        <v>0.198298787401467</v>
      </c>
      <c r="AH44" s="2">
        <f t="shared" si="27"/>
        <v>51.049282441835302</v>
      </c>
      <c r="AI44" s="2">
        <f t="shared" si="28"/>
        <v>0.66611209337320398</v>
      </c>
      <c r="AJ44" s="2">
        <f t="shared" si="29"/>
        <v>0.40795110704399801</v>
      </c>
      <c r="AK44" s="2">
        <f t="shared" si="30"/>
        <v>0.230144279086853</v>
      </c>
      <c r="AL44" s="2">
        <f t="shared" si="31"/>
        <v>0.22558051561110201</v>
      </c>
      <c r="AM44" s="2">
        <f t="shared" si="32"/>
        <v>5.5026117927724201</v>
      </c>
      <c r="AN44" s="2">
        <f t="shared" si="33"/>
        <v>0.14693117408850001</v>
      </c>
      <c r="AO44" s="2">
        <f t="shared" si="34"/>
        <v>0.53517191627560001</v>
      </c>
      <c r="AP44" s="2">
        <f t="shared" si="35"/>
        <v>3.3026660178859002</v>
      </c>
      <c r="AQ44" s="2">
        <f t="shared" si="36"/>
        <v>0.1377025631188</v>
      </c>
      <c r="AR44" s="2">
        <f t="shared" si="37"/>
        <v>0.48524732879028998</v>
      </c>
      <c r="AS44" s="2">
        <f t="shared" si="38"/>
        <v>0.95539073308873101</v>
      </c>
      <c r="AT44" s="2">
        <f t="shared" si="39"/>
        <v>0.115039107406481</v>
      </c>
      <c r="AU44" s="2">
        <f t="shared" si="40"/>
        <v>0.33192936440787602</v>
      </c>
      <c r="AV44" s="2">
        <f t="shared" si="41"/>
        <v>0.101985891609619</v>
      </c>
      <c r="AW44" s="2">
        <f t="shared" si="42"/>
        <v>0.56118876986749799</v>
      </c>
      <c r="AX44" s="2">
        <f t="shared" si="43"/>
        <v>2.6741190071999498E-3</v>
      </c>
      <c r="AY44" s="5">
        <f t="shared" si="44"/>
        <v>1.0331869822272299</v>
      </c>
      <c r="AZ44" s="2">
        <f t="shared" si="45"/>
        <v>0.16971942285946501</v>
      </c>
      <c r="BA44" s="2">
        <f t="shared" si="46"/>
        <v>0.68894840846884398</v>
      </c>
      <c r="BB44" s="2">
        <f t="shared" si="47"/>
        <v>0.141221049034044</v>
      </c>
      <c r="BC44" s="2">
        <f t="shared" si="48"/>
        <v>0.887101926138949</v>
      </c>
      <c r="BD44" s="2">
        <f t="shared" si="49"/>
        <v>0.133917790121935</v>
      </c>
      <c r="BE44" s="2">
        <f t="shared" si="50"/>
        <v>-1.26735762038881E-2</v>
      </c>
      <c r="BF44" s="2">
        <f t="shared" si="51"/>
        <v>0.38108749793325097</v>
      </c>
    </row>
    <row r="45" spans="1:58" s="2" customFormat="1" x14ac:dyDescent="0.15">
      <c r="A45" s="3">
        <v>209.5</v>
      </c>
      <c r="B45" s="4">
        <v>4.2866412126200001E-2</v>
      </c>
      <c r="C45" s="4">
        <v>7.1685807083900002E-2</v>
      </c>
      <c r="D45" s="4">
        <v>6.2826802942099996E-2</v>
      </c>
      <c r="E45" s="4">
        <v>0.19535235049499999</v>
      </c>
      <c r="F45" s="4">
        <v>0.31767135832299997</v>
      </c>
      <c r="G45" s="2">
        <f t="shared" si="0"/>
        <v>4.4314400750374796</v>
      </c>
      <c r="H45" s="2">
        <f t="shared" si="1"/>
        <v>0.24598555123909999</v>
      </c>
      <c r="I45" s="2">
        <f t="shared" si="2"/>
        <v>0.63177353107661804</v>
      </c>
      <c r="J45" s="2">
        <f t="shared" si="3"/>
        <v>-0.30567665664453503</v>
      </c>
      <c r="K45" s="2">
        <f t="shared" si="4"/>
        <v>3.4314400750374801</v>
      </c>
      <c r="L45" s="2">
        <f t="shared" si="5"/>
        <v>1.4723766545569199</v>
      </c>
      <c r="M45" s="2">
        <f t="shared" si="6"/>
        <v>0.414882053252289</v>
      </c>
      <c r="N45" s="2">
        <f t="shared" si="7"/>
        <v>0.397415070156386</v>
      </c>
      <c r="O45" s="2">
        <f t="shared" si="8"/>
        <v>0.51941297466468295</v>
      </c>
      <c r="P45" s="2">
        <f t="shared" si="9"/>
        <v>0.394217148663214</v>
      </c>
      <c r="Q45" s="2">
        <f t="shared" si="10"/>
        <v>0.66976553719360898</v>
      </c>
      <c r="R45" s="2">
        <f t="shared" si="11"/>
        <v>5.0563030975133296</v>
      </c>
      <c r="S45" s="2">
        <f t="shared" si="12"/>
        <v>0.54693929679596198</v>
      </c>
      <c r="T45" s="2">
        <f t="shared" si="13"/>
        <v>-0.24474378021724899</v>
      </c>
      <c r="U45" s="2">
        <f t="shared" si="14"/>
        <v>0.43414836042599902</v>
      </c>
      <c r="V45" s="2">
        <f t="shared" si="15"/>
        <v>0.41905206694339298</v>
      </c>
      <c r="W45" s="2">
        <f t="shared" si="16"/>
        <v>0.25484455538090001</v>
      </c>
      <c r="X45" s="2">
        <f t="shared" si="17"/>
        <v>0.41314174387920999</v>
      </c>
      <c r="Y45" s="2">
        <f t="shared" si="18"/>
        <v>1.0815569967383201</v>
      </c>
      <c r="Z45" s="2">
        <f t="shared" si="19"/>
        <v>1.2486224888836599</v>
      </c>
      <c r="AA45" s="2">
        <f t="shared" si="20"/>
        <v>3.1127992415666701</v>
      </c>
      <c r="AB45" s="2">
        <f t="shared" si="21"/>
        <v>0.19024908063255</v>
      </c>
      <c r="AC45" s="2">
        <f t="shared" si="22"/>
        <v>1.62614556476059</v>
      </c>
      <c r="AD45" s="2">
        <f t="shared" si="23"/>
        <v>0.122319007828</v>
      </c>
      <c r="AE45" s="2">
        <f t="shared" si="24"/>
        <v>0.23842759257622101</v>
      </c>
      <c r="AF45" s="2">
        <f t="shared" si="25"/>
        <v>0.17077536872377699</v>
      </c>
      <c r="AG45" s="5">
        <f t="shared" si="26"/>
        <v>0.18111966200286</v>
      </c>
      <c r="AH45" s="2">
        <f t="shared" si="27"/>
        <v>48.621253034164802</v>
      </c>
      <c r="AI45" s="2">
        <f t="shared" si="28"/>
        <v>0.62614556476058703</v>
      </c>
      <c r="AJ45" s="2">
        <f t="shared" si="29"/>
        <v>0.38638113257267798</v>
      </c>
      <c r="AK45" s="2">
        <f t="shared" si="30"/>
        <v>0.208380346278495</v>
      </c>
      <c r="AL45" s="2">
        <f t="shared" si="31"/>
        <v>0.21082474097335299</v>
      </c>
      <c r="AM45" s="2">
        <f t="shared" si="32"/>
        <v>5.0563030975133296</v>
      </c>
      <c r="AN45" s="2">
        <f t="shared" si="33"/>
        <v>0.1325255475529</v>
      </c>
      <c r="AO45" s="2">
        <f t="shared" si="34"/>
        <v>0.51330847509803701</v>
      </c>
      <c r="AP45" s="2">
        <f t="shared" si="35"/>
        <v>3.1093791399035999</v>
      </c>
      <c r="AQ45" s="2">
        <f t="shared" si="36"/>
        <v>0.12366654341110001</v>
      </c>
      <c r="AR45" s="2">
        <f t="shared" si="37"/>
        <v>0.46310439126873099</v>
      </c>
      <c r="AS45" s="2">
        <f t="shared" si="38"/>
        <v>0.92298436102800596</v>
      </c>
      <c r="AT45" s="2">
        <f t="shared" si="39"/>
        <v>0.12260071904820399</v>
      </c>
      <c r="AU45" s="2">
        <f t="shared" si="40"/>
        <v>0.33410154133317599</v>
      </c>
      <c r="AV45" s="2">
        <f t="shared" si="41"/>
        <v>0.109102625870851</v>
      </c>
      <c r="AW45" s="2">
        <f t="shared" si="42"/>
        <v>0.55165594513761995</v>
      </c>
      <c r="AX45" s="2">
        <f t="shared" si="43"/>
        <v>-1.3475355831000101E-3</v>
      </c>
      <c r="AY45" s="5">
        <f t="shared" si="44"/>
        <v>1.0360143272528599</v>
      </c>
      <c r="AZ45" s="2">
        <f t="shared" si="45"/>
        <v>0.156647177283153</v>
      </c>
      <c r="BA45" s="2">
        <f t="shared" si="46"/>
        <v>0.71875859988625701</v>
      </c>
      <c r="BB45" s="2">
        <f t="shared" si="47"/>
        <v>0.11890684943688801</v>
      </c>
      <c r="BC45" s="2">
        <f t="shared" si="48"/>
        <v>0.79722901695271498</v>
      </c>
      <c r="BD45" s="2">
        <f t="shared" si="49"/>
        <v>0.11830841742237901</v>
      </c>
      <c r="BE45" s="2">
        <f t="shared" si="50"/>
        <v>-1.6780436448995999E-2</v>
      </c>
      <c r="BF45" s="2">
        <f t="shared" si="51"/>
        <v>0.37739408324041701</v>
      </c>
    </row>
    <row r="46" spans="1:58" s="2" customFormat="1" x14ac:dyDescent="0.15">
      <c r="A46" s="3">
        <v>200</v>
      </c>
      <c r="B46" s="4">
        <v>7.6163163875099998E-2</v>
      </c>
      <c r="C46" s="4">
        <v>0.126759882352</v>
      </c>
      <c r="D46" s="4">
        <v>0.13146269295400001</v>
      </c>
      <c r="E46" s="4">
        <v>0.25001259261300002</v>
      </c>
      <c r="F46" s="4">
        <v>0.33100277925900001</v>
      </c>
      <c r="G46" s="2">
        <f t="shared" si="0"/>
        <v>2.6112581766196099</v>
      </c>
      <c r="H46" s="2">
        <f t="shared" si="1"/>
        <v>0.20424289690700001</v>
      </c>
      <c r="I46" s="2">
        <f t="shared" si="2"/>
        <v>0.44617640108131501</v>
      </c>
      <c r="J46" s="2">
        <f t="shared" si="3"/>
        <v>-0.52282217673543097</v>
      </c>
      <c r="K46" s="2">
        <f t="shared" si="4"/>
        <v>1.6112581766196099</v>
      </c>
      <c r="L46" s="2">
        <f t="shared" si="5"/>
        <v>0.84788287779444005</v>
      </c>
      <c r="M46" s="2">
        <f t="shared" si="6"/>
        <v>0.31987501459409701</v>
      </c>
      <c r="N46" s="2">
        <f t="shared" si="7"/>
        <v>0.299890902793992</v>
      </c>
      <c r="O46" s="2">
        <f t="shared" si="8"/>
        <v>0.38351583081158702</v>
      </c>
      <c r="P46" s="2">
        <f t="shared" si="9"/>
        <v>0.30187474337610198</v>
      </c>
      <c r="Q46" s="2">
        <f t="shared" si="10"/>
        <v>0.43147023571328802</v>
      </c>
      <c r="R46" s="2">
        <f t="shared" si="11"/>
        <v>2.5178457235378602</v>
      </c>
      <c r="S46" s="2">
        <f t="shared" si="12"/>
        <v>0.371854360517197</v>
      </c>
      <c r="T46" s="2">
        <f t="shared" si="13"/>
        <v>-0.53593140241409798</v>
      </c>
      <c r="U46" s="2">
        <f t="shared" si="14"/>
        <v>0.31098271896372098</v>
      </c>
      <c r="V46" s="2">
        <f t="shared" si="15"/>
        <v>0.29110885770942202</v>
      </c>
      <c r="W46" s="2">
        <f t="shared" si="16"/>
        <v>0.199540086305</v>
      </c>
      <c r="X46" s="2">
        <f t="shared" si="17"/>
        <v>0.29342053110215099</v>
      </c>
      <c r="Y46" s="2">
        <f t="shared" si="18"/>
        <v>0.96512705677194999</v>
      </c>
      <c r="Z46" s="2">
        <f t="shared" si="19"/>
        <v>0.58677210825558102</v>
      </c>
      <c r="AA46" s="2">
        <f t="shared" si="20"/>
        <v>2.7669292240374102</v>
      </c>
      <c r="AB46" s="2">
        <f t="shared" si="21"/>
        <v>0.2312327361065</v>
      </c>
      <c r="AC46" s="2">
        <f t="shared" si="22"/>
        <v>1.32394442935667</v>
      </c>
      <c r="AD46" s="2">
        <f t="shared" si="23"/>
        <v>8.0990186645999995E-2</v>
      </c>
      <c r="AE46" s="2">
        <f t="shared" si="24"/>
        <v>0.13939422357287001</v>
      </c>
      <c r="AF46" s="2">
        <f t="shared" si="25"/>
        <v>0.10625236084219999</v>
      </c>
      <c r="AG46" s="5">
        <f t="shared" si="26"/>
        <v>0.112380714585606</v>
      </c>
      <c r="AH46" s="2">
        <f t="shared" si="27"/>
        <v>28.061548484898399</v>
      </c>
      <c r="AI46" s="2">
        <f t="shared" si="28"/>
        <v>0.32394442935667001</v>
      </c>
      <c r="AJ46" s="2">
        <f t="shared" si="29"/>
        <v>0.212499369907136</v>
      </c>
      <c r="AK46" s="2">
        <f t="shared" si="30"/>
        <v>0.126223000695982</v>
      </c>
      <c r="AL46" s="2">
        <f t="shared" si="31"/>
        <v>0.12678362700091</v>
      </c>
      <c r="AM46" s="2">
        <f t="shared" si="32"/>
        <v>2.5178457235378602</v>
      </c>
      <c r="AN46" s="2">
        <f t="shared" si="33"/>
        <v>0.11854989965899999</v>
      </c>
      <c r="AO46" s="2">
        <f t="shared" si="34"/>
        <v>0.310766920281074</v>
      </c>
      <c r="AP46" s="2">
        <f t="shared" si="35"/>
        <v>1.90177598674691</v>
      </c>
      <c r="AQ46" s="2">
        <f t="shared" si="36"/>
        <v>0.123252710261</v>
      </c>
      <c r="AR46" s="2">
        <f t="shared" si="37"/>
        <v>0.32712769230939598</v>
      </c>
      <c r="AS46" s="2">
        <f t="shared" si="38"/>
        <v>0.68317381017581802</v>
      </c>
      <c r="AT46" s="2">
        <f t="shared" si="39"/>
        <v>0.179096233720376</v>
      </c>
      <c r="AU46" s="2">
        <f t="shared" si="40"/>
        <v>0.35323726157551499</v>
      </c>
      <c r="AV46" s="2">
        <f t="shared" si="41"/>
        <v>0.18451472325131199</v>
      </c>
      <c r="AW46" s="2">
        <f t="shared" si="42"/>
        <v>0.46457960686808902</v>
      </c>
      <c r="AX46" s="2">
        <f t="shared" si="43"/>
        <v>-4.2262523614999999E-2</v>
      </c>
      <c r="AY46" s="5">
        <f t="shared" si="44"/>
        <v>0.97697442274263602</v>
      </c>
      <c r="AZ46" s="2">
        <f t="shared" si="45"/>
        <v>0.107677996412901</v>
      </c>
      <c r="BA46" s="2">
        <f t="shared" si="46"/>
        <v>1.0214181321168101</v>
      </c>
      <c r="BB46" s="2">
        <f t="shared" si="47"/>
        <v>5.3145257323390399E-2</v>
      </c>
      <c r="BC46" s="2">
        <f t="shared" si="48"/>
        <v>0.80305247689282899</v>
      </c>
      <c r="BD46" s="2">
        <f t="shared" si="49"/>
        <v>8.4462568519887593E-2</v>
      </c>
      <c r="BE46" s="2">
        <f t="shared" si="50"/>
        <v>-7.5648359236920107E-2</v>
      </c>
      <c r="BF46" s="2">
        <f t="shared" si="51"/>
        <v>0.31241953459449301</v>
      </c>
    </row>
    <row r="47" spans="1:58" s="2" customFormat="1" x14ac:dyDescent="0.15">
      <c r="A47" s="3">
        <v>222.5</v>
      </c>
      <c r="B47" s="4">
        <v>3.3246646118200003E-2</v>
      </c>
      <c r="C47" s="4">
        <v>6.3769988195100005E-2</v>
      </c>
      <c r="D47" s="4">
        <v>4.7213046082100002E-2</v>
      </c>
      <c r="E47" s="4">
        <v>0.20758997463199999</v>
      </c>
      <c r="F47" s="4">
        <v>0.35464947261099999</v>
      </c>
      <c r="G47" s="2">
        <f t="shared" si="0"/>
        <v>5.5613852636442997</v>
      </c>
      <c r="H47" s="2">
        <f t="shared" si="1"/>
        <v>0.2908794844159</v>
      </c>
      <c r="I47" s="2">
        <f t="shared" si="2"/>
        <v>0.695186318187759</v>
      </c>
      <c r="J47" s="2">
        <f t="shared" si="3"/>
        <v>-0.199496524549406</v>
      </c>
      <c r="K47" s="2">
        <f t="shared" si="4"/>
        <v>4.5613852636442997</v>
      </c>
      <c r="L47" s="2">
        <f t="shared" si="5"/>
        <v>1.78073373283846</v>
      </c>
      <c r="M47" s="2">
        <f t="shared" si="6"/>
        <v>0.47507619910502702</v>
      </c>
      <c r="N47" s="2">
        <f t="shared" si="7"/>
        <v>0.46907619526613498</v>
      </c>
      <c r="O47" s="2">
        <f t="shared" si="8"/>
        <v>0.58334863327766795</v>
      </c>
      <c r="P47" s="2">
        <f t="shared" si="9"/>
        <v>0.44968370863023599</v>
      </c>
      <c r="Q47" s="2">
        <f t="shared" si="10"/>
        <v>0.76502886491807298</v>
      </c>
      <c r="R47" s="2">
        <f t="shared" si="11"/>
        <v>7.5116837832130301</v>
      </c>
      <c r="S47" s="2">
        <f t="shared" si="12"/>
        <v>0.634721560717454</v>
      </c>
      <c r="T47" s="2">
        <f t="shared" si="13"/>
        <v>-5.1855390503951403E-2</v>
      </c>
      <c r="U47" s="2">
        <f t="shared" si="14"/>
        <v>0.51133585245522195</v>
      </c>
      <c r="V47" s="2">
        <f t="shared" si="15"/>
        <v>0.514718791476654</v>
      </c>
      <c r="W47" s="2">
        <f t="shared" si="16"/>
        <v>0.30743642652890002</v>
      </c>
      <c r="X47" s="2">
        <f t="shared" si="17"/>
        <v>0.48497189652790501</v>
      </c>
      <c r="Y47" s="2">
        <f t="shared" si="18"/>
        <v>1.12473501986827</v>
      </c>
      <c r="Z47" s="2">
        <f t="shared" si="19"/>
        <v>1.7407451146016899</v>
      </c>
      <c r="AA47" s="2">
        <f t="shared" si="20"/>
        <v>3.28305054156642</v>
      </c>
      <c r="AB47" s="2">
        <f t="shared" si="21"/>
        <v>0.20093125934655001</v>
      </c>
      <c r="AC47" s="2">
        <f t="shared" si="22"/>
        <v>1.7084132951974</v>
      </c>
      <c r="AD47" s="2">
        <f t="shared" si="23"/>
        <v>0.147059497979</v>
      </c>
      <c r="AE47" s="2">
        <f t="shared" si="24"/>
        <v>0.26156026351427603</v>
      </c>
      <c r="AF47" s="2">
        <f t="shared" si="25"/>
        <v>0.19612475887471301</v>
      </c>
      <c r="AG47" s="5">
        <f t="shared" si="26"/>
        <v>0.20766433363120801</v>
      </c>
      <c r="AH47" s="2">
        <f t="shared" si="27"/>
        <v>53.556504220577203</v>
      </c>
      <c r="AI47" s="2">
        <f t="shared" si="28"/>
        <v>0.70841329519740104</v>
      </c>
      <c r="AJ47" s="2">
        <f t="shared" si="29"/>
        <v>0.43045646489377898</v>
      </c>
      <c r="AK47" s="2">
        <f t="shared" si="30"/>
        <v>0.24459298662079701</v>
      </c>
      <c r="AL47" s="2">
        <f t="shared" si="31"/>
        <v>0.23619454504573001</v>
      </c>
      <c r="AM47" s="2">
        <f t="shared" si="32"/>
        <v>7.5116837832130301</v>
      </c>
      <c r="AN47" s="2">
        <f t="shared" si="33"/>
        <v>0.16037692854989999</v>
      </c>
      <c r="AO47" s="2">
        <f t="shared" si="34"/>
        <v>0.62941533463941901</v>
      </c>
      <c r="AP47" s="2">
        <f t="shared" si="35"/>
        <v>4.3968773857762997</v>
      </c>
      <c r="AQ47" s="2">
        <f t="shared" si="36"/>
        <v>0.1438199864369</v>
      </c>
      <c r="AR47" s="2">
        <f t="shared" si="37"/>
        <v>0.52999707450776901</v>
      </c>
      <c r="AS47" s="2">
        <f t="shared" si="38"/>
        <v>0.91696168088942798</v>
      </c>
      <c r="AT47" s="2">
        <f t="shared" si="39"/>
        <v>0.101867455321136</v>
      </c>
      <c r="AU47" s="2">
        <f t="shared" si="40"/>
        <v>0.33160837981095698</v>
      </c>
      <c r="AV47" s="2">
        <f t="shared" si="41"/>
        <v>7.7467967723802794E-2</v>
      </c>
      <c r="AW47" s="2">
        <f t="shared" si="42"/>
        <v>0.58191487686936005</v>
      </c>
      <c r="AX47" s="2">
        <f t="shared" si="43"/>
        <v>3.2395115421000199E-3</v>
      </c>
      <c r="AY47" s="5">
        <f t="shared" si="44"/>
        <v>1.05692028142255</v>
      </c>
      <c r="AZ47" s="2">
        <f t="shared" si="45"/>
        <v>0.173262759043708</v>
      </c>
      <c r="BA47" s="2">
        <f t="shared" si="46"/>
        <v>0.63169958277263705</v>
      </c>
      <c r="BB47" s="2">
        <f t="shared" si="47"/>
        <v>0.15184992583712101</v>
      </c>
      <c r="BC47" s="2">
        <f t="shared" si="48"/>
        <v>0.89934165481062001</v>
      </c>
      <c r="BD47" s="2">
        <f t="shared" si="49"/>
        <v>0.12604140683102899</v>
      </c>
      <c r="BE47" s="2">
        <f t="shared" si="50"/>
        <v>-1.25935017518039E-2</v>
      </c>
      <c r="BF47" s="2">
        <f t="shared" si="51"/>
        <v>0.37624483778121898</v>
      </c>
    </row>
    <row r="48" spans="1:58" s="2" customFormat="1" x14ac:dyDescent="0.15">
      <c r="A48" s="3">
        <v>202.5</v>
      </c>
      <c r="B48" s="4">
        <v>4.7632628141799999E-2</v>
      </c>
      <c r="C48" s="4">
        <v>8.35570902157E-2</v>
      </c>
      <c r="D48" s="4">
        <v>7.8516468670400005E-2</v>
      </c>
      <c r="E48" s="4">
        <v>0.20862358436699999</v>
      </c>
      <c r="F48" s="4">
        <v>0.31597471969599999</v>
      </c>
      <c r="G48" s="2">
        <f t="shared" si="0"/>
        <v>3.7815428814038499</v>
      </c>
      <c r="H48" s="2">
        <f t="shared" si="1"/>
        <v>0.23241762948030001</v>
      </c>
      <c r="I48" s="2">
        <f t="shared" si="2"/>
        <v>0.581724968361509</v>
      </c>
      <c r="J48" s="2">
        <f t="shared" si="3"/>
        <v>-0.37571910527591201</v>
      </c>
      <c r="K48" s="2">
        <f t="shared" si="4"/>
        <v>2.7815428814038499</v>
      </c>
      <c r="L48" s="2">
        <f t="shared" si="5"/>
        <v>1.2720428234461401</v>
      </c>
      <c r="M48" s="2">
        <f t="shared" si="6"/>
        <v>0.38756433110983801</v>
      </c>
      <c r="N48" s="2">
        <f t="shared" si="7"/>
        <v>0.36766736505817399</v>
      </c>
      <c r="O48" s="2">
        <f t="shared" si="8"/>
        <v>0.48183936180446002</v>
      </c>
      <c r="P48" s="2">
        <f t="shared" si="9"/>
        <v>0.36769979352194998</v>
      </c>
      <c r="Q48" s="2">
        <f t="shared" si="10"/>
        <v>0.60193550078753799</v>
      </c>
      <c r="R48" s="2">
        <f t="shared" si="11"/>
        <v>4.0243113966626902</v>
      </c>
      <c r="S48" s="2">
        <f t="shared" si="12"/>
        <v>0.496764559958492</v>
      </c>
      <c r="T48" s="2">
        <f t="shared" si="13"/>
        <v>-0.34869281572816602</v>
      </c>
      <c r="U48" s="2">
        <f t="shared" si="14"/>
        <v>0.39820110155461802</v>
      </c>
      <c r="V48" s="2">
        <f t="shared" si="15"/>
        <v>0.37905568700027797</v>
      </c>
      <c r="W48" s="2">
        <f t="shared" si="16"/>
        <v>0.2374582510256</v>
      </c>
      <c r="X48" s="2">
        <f t="shared" si="17"/>
        <v>0.37806686081595098</v>
      </c>
      <c r="Y48" s="2">
        <f t="shared" si="18"/>
        <v>1.04973115643365</v>
      </c>
      <c r="Z48" s="2">
        <f t="shared" si="19"/>
        <v>1.0060686420615601</v>
      </c>
      <c r="AA48" s="2">
        <f t="shared" si="20"/>
        <v>3.0174424612880899</v>
      </c>
      <c r="AB48" s="2">
        <f t="shared" si="21"/>
        <v>0.19724559418320001</v>
      </c>
      <c r="AC48" s="2">
        <f t="shared" si="22"/>
        <v>1.51456855012209</v>
      </c>
      <c r="AD48" s="2">
        <f t="shared" si="23"/>
        <v>0.10735113532899999</v>
      </c>
      <c r="AE48" s="2">
        <f t="shared" si="24"/>
        <v>0.204634926376178</v>
      </c>
      <c r="AF48" s="2">
        <f t="shared" si="25"/>
        <v>0.14821535573094</v>
      </c>
      <c r="AG48" s="5">
        <f t="shared" si="26"/>
        <v>0.15716081351584901</v>
      </c>
      <c r="AH48" s="2">
        <f t="shared" si="27"/>
        <v>41.513061300430799</v>
      </c>
      <c r="AI48" s="2">
        <f t="shared" si="28"/>
        <v>0.51456855012208702</v>
      </c>
      <c r="AJ48" s="2">
        <f t="shared" si="29"/>
        <v>0.324497607648701</v>
      </c>
      <c r="AK48" s="2">
        <f t="shared" si="30"/>
        <v>0.18002044635854</v>
      </c>
      <c r="AL48" s="2">
        <f t="shared" si="31"/>
        <v>0.181898371997983</v>
      </c>
      <c r="AM48" s="2">
        <f t="shared" si="32"/>
        <v>4.0243113966626902</v>
      </c>
      <c r="AN48" s="2">
        <f t="shared" si="33"/>
        <v>0.1301071156966</v>
      </c>
      <c r="AO48" s="2">
        <f t="shared" si="34"/>
        <v>0.45311378304876698</v>
      </c>
      <c r="AP48" s="2">
        <f t="shared" si="35"/>
        <v>2.6570678470368998</v>
      </c>
      <c r="AQ48" s="2">
        <f t="shared" si="36"/>
        <v>0.1250664941513</v>
      </c>
      <c r="AR48" s="2">
        <f t="shared" si="37"/>
        <v>0.42804505920839298</v>
      </c>
      <c r="AS48" s="2">
        <f t="shared" si="38"/>
        <v>0.82509811053943305</v>
      </c>
      <c r="AT48" s="2">
        <f t="shared" si="39"/>
        <v>0.13739430908904901</v>
      </c>
      <c r="AU48" s="2">
        <f t="shared" si="40"/>
        <v>0.34304321942985799</v>
      </c>
      <c r="AV48" s="2">
        <f t="shared" si="41"/>
        <v>0.130184953544667</v>
      </c>
      <c r="AW48" s="2">
        <f t="shared" si="42"/>
        <v>0.52390479222380604</v>
      </c>
      <c r="AX48" s="2">
        <f t="shared" si="43"/>
        <v>-1.7715358822299999E-2</v>
      </c>
      <c r="AY48" s="5">
        <f t="shared" si="44"/>
        <v>1.0216877762524801</v>
      </c>
      <c r="AZ48" s="2">
        <f t="shared" si="45"/>
        <v>0.13826510944595699</v>
      </c>
      <c r="BA48" s="2">
        <f t="shared" si="46"/>
        <v>0.76776924516862199</v>
      </c>
      <c r="BB48" s="2">
        <f t="shared" si="47"/>
        <v>9.2188166968245402E-2</v>
      </c>
      <c r="BC48" s="2">
        <f t="shared" si="48"/>
        <v>0.78459633254211802</v>
      </c>
      <c r="BD48" s="2">
        <f t="shared" si="49"/>
        <v>0.106265326604778</v>
      </c>
      <c r="BE48" s="2">
        <f t="shared" si="50"/>
        <v>-4.0518096002268099E-2</v>
      </c>
      <c r="BF48" s="2">
        <f t="shared" si="51"/>
        <v>0.35177263742444298</v>
      </c>
    </row>
    <row r="49" spans="1:58" s="2" customFormat="1" x14ac:dyDescent="0.15">
      <c r="A49" s="3">
        <v>205.5</v>
      </c>
      <c r="B49" s="4">
        <v>3.8024566093700002E-2</v>
      </c>
      <c r="C49" s="4">
        <v>7.1108078303000005E-2</v>
      </c>
      <c r="D49" s="4">
        <v>5.92473850931E-2</v>
      </c>
      <c r="E49" s="4">
        <v>0.20544471709699999</v>
      </c>
      <c r="F49" s="4">
        <v>0.32725801341299998</v>
      </c>
      <c r="G49" s="2">
        <f t="shared" si="0"/>
        <v>4.6022620948707802</v>
      </c>
      <c r="H49" s="2">
        <f t="shared" si="1"/>
        <v>0.25614993511</v>
      </c>
      <c r="I49" s="2">
        <f t="shared" si="2"/>
        <v>0.64300135085948096</v>
      </c>
      <c r="J49" s="2">
        <f t="shared" si="3"/>
        <v>-0.28843444116438</v>
      </c>
      <c r="K49" s="2">
        <f t="shared" si="4"/>
        <v>3.6022620948707802</v>
      </c>
      <c r="L49" s="2">
        <f t="shared" si="5"/>
        <v>1.5219262114675001</v>
      </c>
      <c r="M49" s="2">
        <f t="shared" si="6"/>
        <v>0.42769301536200999</v>
      </c>
      <c r="N49" s="2">
        <f t="shared" si="7"/>
        <v>0.41246173747018999</v>
      </c>
      <c r="O49" s="2">
        <f t="shared" si="8"/>
        <v>0.532148941592123</v>
      </c>
      <c r="P49" s="2">
        <f t="shared" si="9"/>
        <v>0.405838335175841</v>
      </c>
      <c r="Q49" s="2">
        <f t="shared" si="10"/>
        <v>0.693420142010436</v>
      </c>
      <c r="R49" s="2">
        <f t="shared" si="11"/>
        <v>5.5235857734270297</v>
      </c>
      <c r="S49" s="2">
        <f t="shared" si="12"/>
        <v>0.56887329878336701</v>
      </c>
      <c r="T49" s="2">
        <f t="shared" si="13"/>
        <v>-0.202768561919042</v>
      </c>
      <c r="U49" s="2">
        <f t="shared" si="14"/>
        <v>0.45348391916993402</v>
      </c>
      <c r="V49" s="2">
        <f t="shared" si="15"/>
        <v>0.44211574863773101</v>
      </c>
      <c r="W49" s="2">
        <f t="shared" si="16"/>
        <v>0.26801062831990002</v>
      </c>
      <c r="X49" s="2">
        <f t="shared" si="17"/>
        <v>0.43109623977702599</v>
      </c>
      <c r="Y49" s="2">
        <f t="shared" si="18"/>
        <v>1.09243770623795</v>
      </c>
      <c r="Z49" s="2">
        <f t="shared" si="19"/>
        <v>1.35023100426895</v>
      </c>
      <c r="AA49" s="2">
        <f t="shared" si="20"/>
        <v>3.1522828936154599</v>
      </c>
      <c r="AB49" s="2">
        <f t="shared" si="21"/>
        <v>0.19325269925305</v>
      </c>
      <c r="AC49" s="2">
        <f t="shared" si="22"/>
        <v>1.5929249388218001</v>
      </c>
      <c r="AD49" s="2">
        <f t="shared" si="23"/>
        <v>0.12181329631600001</v>
      </c>
      <c r="AE49" s="2">
        <f t="shared" si="24"/>
        <v>0.22867030585591</v>
      </c>
      <c r="AF49" s="2">
        <f t="shared" si="25"/>
        <v>0.16689842337750299</v>
      </c>
      <c r="AG49" s="5">
        <f t="shared" si="26"/>
        <v>0.17693372843486499</v>
      </c>
      <c r="AH49" s="2">
        <f t="shared" si="27"/>
        <v>46.557191043407798</v>
      </c>
      <c r="AI49" s="2">
        <f t="shared" si="28"/>
        <v>0.59292493882179598</v>
      </c>
      <c r="AJ49" s="2">
        <f t="shared" si="29"/>
        <v>0.36821777131200101</v>
      </c>
      <c r="AK49" s="2">
        <f t="shared" si="30"/>
        <v>0.20611261339402101</v>
      </c>
      <c r="AL49" s="2">
        <f t="shared" si="31"/>
        <v>0.20398854732754701</v>
      </c>
      <c r="AM49" s="2">
        <f t="shared" si="32"/>
        <v>5.5235857734270297</v>
      </c>
      <c r="AN49" s="2">
        <f t="shared" si="33"/>
        <v>0.1461973320039</v>
      </c>
      <c r="AO49" s="2">
        <f t="shared" si="34"/>
        <v>0.55232978541574396</v>
      </c>
      <c r="AP49" s="2">
        <f t="shared" si="35"/>
        <v>3.4675744216250002</v>
      </c>
      <c r="AQ49" s="2">
        <f t="shared" si="36"/>
        <v>0.13433663879400001</v>
      </c>
      <c r="AR49" s="2">
        <f t="shared" si="37"/>
        <v>0.48575404417698398</v>
      </c>
      <c r="AS49" s="2">
        <f t="shared" si="38"/>
        <v>0.83321148646372301</v>
      </c>
      <c r="AT49" s="2">
        <f t="shared" si="39"/>
        <v>0.117765494199727</v>
      </c>
      <c r="AU49" s="2">
        <f t="shared" si="40"/>
        <v>0.34024683576114301</v>
      </c>
      <c r="AV49" s="2">
        <f t="shared" si="41"/>
        <v>0.100088476260768</v>
      </c>
      <c r="AW49" s="2">
        <f t="shared" si="42"/>
        <v>0.55284728355796997</v>
      </c>
      <c r="AX49" s="2">
        <f t="shared" si="43"/>
        <v>-1.2523342478E-2</v>
      </c>
      <c r="AY49" s="5">
        <f t="shared" si="44"/>
        <v>1.0463037135059501</v>
      </c>
      <c r="AZ49" s="2">
        <f t="shared" si="45"/>
        <v>0.15026688901796201</v>
      </c>
      <c r="BA49" s="2">
        <f t="shared" si="46"/>
        <v>0.67615500907570503</v>
      </c>
      <c r="BB49" s="2">
        <f t="shared" si="47"/>
        <v>0.112433913638985</v>
      </c>
      <c r="BC49" s="2">
        <f t="shared" si="48"/>
        <v>0.81969171311073896</v>
      </c>
      <c r="BD49" s="2">
        <f t="shared" si="49"/>
        <v>0.10928740071595899</v>
      </c>
      <c r="BE49" s="2">
        <f t="shared" si="50"/>
        <v>-3.41540098236E-2</v>
      </c>
      <c r="BF49" s="2">
        <f t="shared" si="51"/>
        <v>0.35562958856968602</v>
      </c>
    </row>
    <row r="50" spans="1:58" s="2" customFormat="1" x14ac:dyDescent="0.15">
      <c r="A50" s="3">
        <v>182.5</v>
      </c>
      <c r="B50" s="4">
        <v>5.9468592329400001E-2</v>
      </c>
      <c r="C50" s="4">
        <v>0.103577258248</v>
      </c>
      <c r="D50" s="4">
        <v>0.10016895854299999</v>
      </c>
      <c r="E50" s="4">
        <v>0.224367679564</v>
      </c>
      <c r="F50" s="4">
        <v>0.30998926060900001</v>
      </c>
      <c r="G50" s="2">
        <f t="shared" si="0"/>
        <v>2.9928313015080801</v>
      </c>
      <c r="H50" s="2">
        <f t="shared" si="1"/>
        <v>0.20641200236099999</v>
      </c>
      <c r="I50" s="2">
        <f t="shared" si="2"/>
        <v>0.49910230386026899</v>
      </c>
      <c r="J50" s="2">
        <f t="shared" si="3"/>
        <v>-0.47151901848546901</v>
      </c>
      <c r="K50" s="2">
        <f t="shared" si="4"/>
        <v>1.9928313015080801</v>
      </c>
      <c r="L50" s="2">
        <f t="shared" si="5"/>
        <v>0.99730972811235497</v>
      </c>
      <c r="M50" s="2">
        <f t="shared" si="6"/>
        <v>0.33891128576918</v>
      </c>
      <c r="N50" s="2">
        <f t="shared" si="7"/>
        <v>0.316776732807937</v>
      </c>
      <c r="O50" s="2">
        <f t="shared" si="8"/>
        <v>0.41745449719748401</v>
      </c>
      <c r="P50" s="2">
        <f t="shared" si="9"/>
        <v>0.32096838773123199</v>
      </c>
      <c r="Q50" s="2">
        <f t="shared" si="10"/>
        <v>0.51155942333619997</v>
      </c>
      <c r="R50" s="2">
        <f t="shared" si="11"/>
        <v>3.09466390704192</v>
      </c>
      <c r="S50" s="2">
        <f t="shared" si="12"/>
        <v>0.42688422655479402</v>
      </c>
      <c r="T50" s="2">
        <f t="shared" si="13"/>
        <v>-0.45840660582093401</v>
      </c>
      <c r="U50" s="2">
        <f t="shared" si="14"/>
        <v>0.34579751792192398</v>
      </c>
      <c r="V50" s="2">
        <f t="shared" si="15"/>
        <v>0.323736241934653</v>
      </c>
      <c r="W50" s="2">
        <f t="shared" si="16"/>
        <v>0.209820302066</v>
      </c>
      <c r="X50" s="2">
        <f t="shared" si="17"/>
        <v>0.32762105049753798</v>
      </c>
      <c r="Y50" s="2">
        <f t="shared" si="18"/>
        <v>1.0057631049786</v>
      </c>
      <c r="Z50" s="2">
        <f t="shared" si="19"/>
        <v>0.75916568493189895</v>
      </c>
      <c r="AA50" s="2">
        <f t="shared" si="20"/>
        <v>2.8888131923395401</v>
      </c>
      <c r="AB50" s="2">
        <f t="shared" si="21"/>
        <v>0.20507910957600001</v>
      </c>
      <c r="AC50" s="2">
        <f t="shared" si="22"/>
        <v>1.3816128116642401</v>
      </c>
      <c r="AD50" s="2">
        <f t="shared" si="23"/>
        <v>8.5621581045000006E-2</v>
      </c>
      <c r="AE50" s="2">
        <f t="shared" si="24"/>
        <v>0.16023293534333</v>
      </c>
      <c r="AF50" s="2">
        <f t="shared" si="25"/>
        <v>0.117129830784379</v>
      </c>
      <c r="AG50" s="5">
        <f t="shared" si="26"/>
        <v>0.12416639419078999</v>
      </c>
      <c r="AH50" s="2">
        <f t="shared" si="27"/>
        <v>32.325152087062797</v>
      </c>
      <c r="AI50" s="2">
        <f t="shared" si="28"/>
        <v>0.38161281166424299</v>
      </c>
      <c r="AJ50" s="2">
        <f t="shared" si="29"/>
        <v>0.247279075090439</v>
      </c>
      <c r="AK50" s="2">
        <f t="shared" si="30"/>
        <v>0.141109939859864</v>
      </c>
      <c r="AL50" s="2">
        <f t="shared" si="31"/>
        <v>0.14304031293682201</v>
      </c>
      <c r="AM50" s="2">
        <f t="shared" si="32"/>
        <v>3.09466390704192</v>
      </c>
      <c r="AN50" s="2">
        <f t="shared" si="33"/>
        <v>0.12419872102100001</v>
      </c>
      <c r="AO50" s="2">
        <f t="shared" si="34"/>
        <v>0.38269553091275799</v>
      </c>
      <c r="AP50" s="2">
        <f t="shared" si="35"/>
        <v>2.2398923062346201</v>
      </c>
      <c r="AQ50" s="2">
        <f t="shared" si="36"/>
        <v>0.120790421316</v>
      </c>
      <c r="AR50" s="2">
        <f t="shared" si="37"/>
        <v>0.36832531132176</v>
      </c>
      <c r="AS50" s="2">
        <f t="shared" si="38"/>
        <v>0.68939180968315095</v>
      </c>
      <c r="AT50" s="2">
        <f t="shared" si="39"/>
        <v>0.162363545494774</v>
      </c>
      <c r="AU50" s="2">
        <f t="shared" si="40"/>
        <v>0.351709753324637</v>
      </c>
      <c r="AV50" s="2">
        <f t="shared" si="41"/>
        <v>0.15786425541604801</v>
      </c>
      <c r="AW50" s="2">
        <f t="shared" si="42"/>
        <v>0.48853681344809002</v>
      </c>
      <c r="AX50" s="2">
        <f t="shared" si="43"/>
        <v>-3.5168840271E-2</v>
      </c>
      <c r="AY50" s="5">
        <f t="shared" si="44"/>
        <v>1.01651211977024</v>
      </c>
      <c r="AZ50" s="2">
        <f t="shared" si="45"/>
        <v>0.113896901334357</v>
      </c>
      <c r="BA50" s="2">
        <f t="shared" si="46"/>
        <v>0.89478584617703105</v>
      </c>
      <c r="BB50" s="2">
        <f t="shared" si="47"/>
        <v>6.12595799380748E-2</v>
      </c>
      <c r="BC50" s="2">
        <f t="shared" si="48"/>
        <v>0.75730881227764701</v>
      </c>
      <c r="BD50" s="2">
        <f t="shared" si="49"/>
        <v>8.2930492646011794E-2</v>
      </c>
      <c r="BE50" s="2">
        <f t="shared" si="50"/>
        <v>-6.5137980548160002E-2</v>
      </c>
      <c r="BF50" s="2">
        <f t="shared" si="51"/>
        <v>0.32104226749510201</v>
      </c>
    </row>
    <row r="51" spans="1:58" s="2" customFormat="1" x14ac:dyDescent="0.15">
      <c r="A51" s="3">
        <v>175</v>
      </c>
      <c r="B51" s="4">
        <v>5.9493002119799999E-2</v>
      </c>
      <c r="C51" s="4">
        <v>0.10386511946</v>
      </c>
      <c r="D51" s="4">
        <v>0.10322753993600001</v>
      </c>
      <c r="E51" s="4">
        <v>0.222387418882</v>
      </c>
      <c r="F51" s="4">
        <v>0.300372664229</v>
      </c>
      <c r="G51" s="2">
        <f t="shared" si="0"/>
        <v>2.8919493453688099</v>
      </c>
      <c r="H51" s="2">
        <f t="shared" si="1"/>
        <v>0.19650754476900001</v>
      </c>
      <c r="I51" s="2">
        <f t="shared" si="2"/>
        <v>0.48611869720763901</v>
      </c>
      <c r="J51" s="2">
        <f t="shared" si="3"/>
        <v>-0.484743604567618</v>
      </c>
      <c r="K51" s="2">
        <f t="shared" si="4"/>
        <v>1.8919493453688101</v>
      </c>
      <c r="L51" s="2">
        <f t="shared" si="5"/>
        <v>0.95901613696200605</v>
      </c>
      <c r="M51" s="2">
        <f t="shared" si="6"/>
        <v>0.32597766037929599</v>
      </c>
      <c r="N51" s="2">
        <f t="shared" si="7"/>
        <v>0.302797230644274</v>
      </c>
      <c r="O51" s="2">
        <f t="shared" si="8"/>
        <v>0.40399412893214198</v>
      </c>
      <c r="P51" s="2">
        <f t="shared" si="9"/>
        <v>0.30907279345581001</v>
      </c>
      <c r="Q51" s="2">
        <f t="shared" si="10"/>
        <v>0.48846636413593802</v>
      </c>
      <c r="R51" s="2">
        <f t="shared" si="11"/>
        <v>2.9098113198786701</v>
      </c>
      <c r="S51" s="2">
        <f t="shared" si="12"/>
        <v>0.40576341614122102</v>
      </c>
      <c r="T51" s="2">
        <f t="shared" si="13"/>
        <v>-0.48238479364447601</v>
      </c>
      <c r="U51" s="2">
        <f t="shared" si="14"/>
        <v>0.32726606864013202</v>
      </c>
      <c r="V51" s="2">
        <f t="shared" si="15"/>
        <v>0.304080257417222</v>
      </c>
      <c r="W51" s="2">
        <f t="shared" si="16"/>
        <v>0.19714512429299999</v>
      </c>
      <c r="X51" s="2">
        <f t="shared" si="17"/>
        <v>0.31032041839126401</v>
      </c>
      <c r="Y51" s="2">
        <f t="shared" si="18"/>
        <v>0.994216457385382</v>
      </c>
      <c r="Z51" s="2">
        <f t="shared" si="19"/>
        <v>0.70581690690374699</v>
      </c>
      <c r="AA51" s="2">
        <f t="shared" si="20"/>
        <v>2.8574579266898299</v>
      </c>
      <c r="AB51" s="2">
        <f t="shared" si="21"/>
        <v>0.20180010208249999</v>
      </c>
      <c r="AC51" s="2">
        <f t="shared" si="22"/>
        <v>1.35067291908442</v>
      </c>
      <c r="AD51" s="2">
        <f t="shared" si="23"/>
        <v>7.7985245347000007E-2</v>
      </c>
      <c r="AE51" s="2">
        <f t="shared" si="24"/>
        <v>0.149179801340037</v>
      </c>
      <c r="AF51" s="2">
        <f t="shared" si="25"/>
        <v>0.107860203079354</v>
      </c>
      <c r="AG51" s="5">
        <f t="shared" si="26"/>
        <v>0.114374690557614</v>
      </c>
      <c r="AH51" s="2">
        <f t="shared" si="27"/>
        <v>30.0602926842176</v>
      </c>
      <c r="AI51" s="2">
        <f t="shared" si="28"/>
        <v>0.350672919084417</v>
      </c>
      <c r="AJ51" s="2">
        <f t="shared" si="29"/>
        <v>0.228721044952895</v>
      </c>
      <c r="AK51" s="2">
        <f t="shared" si="30"/>
        <v>0.12945754934683401</v>
      </c>
      <c r="AL51" s="2">
        <f t="shared" si="31"/>
        <v>0.13249586031791</v>
      </c>
      <c r="AM51" s="2">
        <f t="shared" si="32"/>
        <v>2.9098113198786701</v>
      </c>
      <c r="AN51" s="2">
        <f t="shared" si="33"/>
        <v>0.119159878946</v>
      </c>
      <c r="AO51" s="2">
        <f t="shared" si="34"/>
        <v>0.365953331439553</v>
      </c>
      <c r="AP51" s="2">
        <f t="shared" si="35"/>
        <v>2.15434194227507</v>
      </c>
      <c r="AQ51" s="2">
        <f t="shared" si="36"/>
        <v>0.118522299422</v>
      </c>
      <c r="AR51" s="2">
        <f t="shared" si="37"/>
        <v>0.36328391504423102</v>
      </c>
      <c r="AS51" s="2">
        <f t="shared" si="38"/>
        <v>0.65445891718588201</v>
      </c>
      <c r="AT51" s="2">
        <f t="shared" si="39"/>
        <v>0.16575317914735699</v>
      </c>
      <c r="AU51" s="2">
        <f t="shared" si="40"/>
        <v>0.35489702292464398</v>
      </c>
      <c r="AV51" s="2">
        <f t="shared" si="41"/>
        <v>0.164903483927588</v>
      </c>
      <c r="AW51" s="2">
        <f t="shared" si="42"/>
        <v>0.479838024219926</v>
      </c>
      <c r="AX51" s="2">
        <f t="shared" si="43"/>
        <v>-4.0537054075000002E-2</v>
      </c>
      <c r="AY51" s="5">
        <f t="shared" si="44"/>
        <v>1.0032445549342599</v>
      </c>
      <c r="AZ51" s="2">
        <f t="shared" si="45"/>
        <v>0.105061265702719</v>
      </c>
      <c r="BA51" s="2">
        <f t="shared" si="46"/>
        <v>0.90694735605358401</v>
      </c>
      <c r="BB51" s="2">
        <f t="shared" si="47"/>
        <v>5.2249075155295498E-2</v>
      </c>
      <c r="BC51" s="2">
        <f t="shared" si="48"/>
        <v>0.73015974007482098</v>
      </c>
      <c r="BD51" s="2">
        <f t="shared" si="49"/>
        <v>7.4188587733747993E-2</v>
      </c>
      <c r="BE51" s="2">
        <f t="shared" si="50"/>
        <v>-7.2596033798640006E-2</v>
      </c>
      <c r="BF51" s="2">
        <f t="shared" si="51"/>
        <v>0.30687937369402701</v>
      </c>
    </row>
    <row r="52" spans="1:58" s="2" customFormat="1" x14ac:dyDescent="0.15">
      <c r="A52" s="3">
        <v>170.5</v>
      </c>
      <c r="B52" s="4">
        <v>6.5789084066099998E-2</v>
      </c>
      <c r="C52" s="4">
        <v>0.11397033425899999</v>
      </c>
      <c r="D52" s="4">
        <v>0.11513933178499999</v>
      </c>
      <c r="E52" s="4">
        <v>0.231318479425</v>
      </c>
      <c r="F52" s="4">
        <v>0.30457541797900001</v>
      </c>
      <c r="G52" s="2">
        <f t="shared" si="0"/>
        <v>2.67240962272556</v>
      </c>
      <c r="H52" s="2">
        <f t="shared" si="1"/>
        <v>0.19060508372000001</v>
      </c>
      <c r="I52" s="2">
        <f t="shared" si="2"/>
        <v>0.45539844258559098</v>
      </c>
      <c r="J52" s="2">
        <f t="shared" si="3"/>
        <v>-0.51436088714858796</v>
      </c>
      <c r="K52" s="2">
        <f t="shared" si="4"/>
        <v>1.67240962272556</v>
      </c>
      <c r="L52" s="2">
        <f t="shared" si="5"/>
        <v>0.87270426695093894</v>
      </c>
      <c r="M52" s="2">
        <f t="shared" si="6"/>
        <v>0.31126117004340598</v>
      </c>
      <c r="N52" s="2">
        <f t="shared" si="7"/>
        <v>0.28869613386683202</v>
      </c>
      <c r="O52" s="2">
        <f t="shared" si="8"/>
        <v>0.38216838730542402</v>
      </c>
      <c r="P52" s="2">
        <f t="shared" si="9"/>
        <v>0.29462053267717803</v>
      </c>
      <c r="Q52" s="2">
        <f t="shared" si="10"/>
        <v>0.45134483908539602</v>
      </c>
      <c r="R52" s="2">
        <f t="shared" si="11"/>
        <v>2.6452769288928502</v>
      </c>
      <c r="S52" s="2">
        <f t="shared" si="12"/>
        <v>0.37905859748177501</v>
      </c>
      <c r="T52" s="2">
        <f t="shared" si="13"/>
        <v>-0.518103500222722</v>
      </c>
      <c r="U52" s="2">
        <f t="shared" si="14"/>
        <v>0.30895897816569101</v>
      </c>
      <c r="V52" s="2">
        <f t="shared" si="15"/>
        <v>0.28643505974767802</v>
      </c>
      <c r="W52" s="2">
        <f t="shared" si="16"/>
        <v>0.18943608619399999</v>
      </c>
      <c r="X52" s="2">
        <f t="shared" si="17"/>
        <v>0.29240554002993602</v>
      </c>
      <c r="Y52" s="2">
        <f t="shared" si="18"/>
        <v>0.97536907839309595</v>
      </c>
      <c r="Z52" s="2">
        <f t="shared" si="19"/>
        <v>0.62643073289115303</v>
      </c>
      <c r="AA52" s="2">
        <f t="shared" si="20"/>
        <v>2.8037527729472802</v>
      </c>
      <c r="AB52" s="2">
        <f t="shared" si="21"/>
        <v>0.20985737488199999</v>
      </c>
      <c r="AC52" s="2">
        <f t="shared" si="22"/>
        <v>1.3166929798955</v>
      </c>
      <c r="AD52" s="2">
        <f t="shared" si="23"/>
        <v>7.3256938554000006E-2</v>
      </c>
      <c r="AE52" s="2">
        <f t="shared" si="24"/>
        <v>0.13670045303533901</v>
      </c>
      <c r="AF52" s="2">
        <f t="shared" si="25"/>
        <v>0.100071258053018</v>
      </c>
      <c r="AG52" s="5">
        <f t="shared" si="26"/>
        <v>0.10607786000706999</v>
      </c>
      <c r="AH52" s="2">
        <f t="shared" si="27"/>
        <v>27.512327477599101</v>
      </c>
      <c r="AI52" s="2">
        <f t="shared" si="28"/>
        <v>0.31669297989550399</v>
      </c>
      <c r="AJ52" s="2">
        <f t="shared" si="29"/>
        <v>0.20806747421167701</v>
      </c>
      <c r="AK52" s="2">
        <f t="shared" si="30"/>
        <v>0.11947770529851399</v>
      </c>
      <c r="AL52" s="2">
        <f t="shared" si="31"/>
        <v>0.122113513338235</v>
      </c>
      <c r="AM52" s="2">
        <f t="shared" si="32"/>
        <v>2.6452769288928502</v>
      </c>
      <c r="AN52" s="2">
        <f t="shared" si="33"/>
        <v>0.11617914763999999</v>
      </c>
      <c r="AO52" s="2">
        <f t="shared" si="34"/>
        <v>0.33533418465655501</v>
      </c>
      <c r="AP52" s="2">
        <f t="shared" si="35"/>
        <v>2.0090309352927398</v>
      </c>
      <c r="AQ52" s="2">
        <f t="shared" si="36"/>
        <v>0.11734814516600001</v>
      </c>
      <c r="AR52" s="2">
        <f t="shared" si="37"/>
        <v>0.33985504457550803</v>
      </c>
      <c r="AS52" s="2">
        <f t="shared" si="38"/>
        <v>0.63055152359181099</v>
      </c>
      <c r="AT52" s="2">
        <f t="shared" si="39"/>
        <v>0.175375607251611</v>
      </c>
      <c r="AU52" s="2">
        <f t="shared" si="40"/>
        <v>0.35594893233784702</v>
      </c>
      <c r="AV52" s="2">
        <f t="shared" si="41"/>
        <v>0.17685630567341501</v>
      </c>
      <c r="AW52" s="2">
        <f t="shared" si="42"/>
        <v>0.46783390512710599</v>
      </c>
      <c r="AX52" s="2">
        <f t="shared" si="43"/>
        <v>-4.4091206612E-2</v>
      </c>
      <c r="AY52" s="5">
        <f t="shared" si="44"/>
        <v>0.993866913184135</v>
      </c>
      <c r="AZ52" s="2">
        <f t="shared" si="45"/>
        <v>9.9657980427641402E-2</v>
      </c>
      <c r="BA52" s="2">
        <f t="shared" si="46"/>
        <v>0.97806283168896102</v>
      </c>
      <c r="BB52" s="2">
        <f t="shared" si="47"/>
        <v>4.6263221589384299E-2</v>
      </c>
      <c r="BC52" s="2">
        <f t="shared" si="48"/>
        <v>0.736861696208155</v>
      </c>
      <c r="BD52" s="2">
        <f t="shared" si="49"/>
        <v>7.0113316763688399E-2</v>
      </c>
      <c r="BE52" s="2">
        <f t="shared" si="50"/>
        <v>-7.7573114941200005E-2</v>
      </c>
      <c r="BF52" s="2">
        <f t="shared" si="51"/>
        <v>0.30017769112077203</v>
      </c>
    </row>
    <row r="53" spans="1:58" s="2" customFormat="1" x14ac:dyDescent="0.15">
      <c r="A53" s="3">
        <v>170.5</v>
      </c>
      <c r="B53" s="4">
        <v>7.3733781381099997E-2</v>
      </c>
      <c r="C53" s="4">
        <v>0.124624531481</v>
      </c>
      <c r="D53" s="4">
        <v>0.13558994031499999</v>
      </c>
      <c r="E53" s="4">
        <v>0.23950605566399999</v>
      </c>
      <c r="F53" s="4">
        <v>0.304801600836</v>
      </c>
      <c r="G53" s="2">
        <f t="shared" si="0"/>
        <v>2.44575925151999</v>
      </c>
      <c r="H53" s="2">
        <f t="shared" si="1"/>
        <v>0.180177069355</v>
      </c>
      <c r="I53" s="2">
        <f t="shared" si="2"/>
        <v>0.41957639695293197</v>
      </c>
      <c r="J53" s="2">
        <f t="shared" si="3"/>
        <v>-0.54620312753287803</v>
      </c>
      <c r="K53" s="2">
        <f t="shared" si="4"/>
        <v>1.44575925151999</v>
      </c>
      <c r="L53" s="2">
        <f t="shared" si="5"/>
        <v>0.778849444767168</v>
      </c>
      <c r="M53" s="2">
        <f t="shared" si="6"/>
        <v>0.29078761037065398</v>
      </c>
      <c r="N53" s="2">
        <f t="shared" si="7"/>
        <v>0.26874985147015001</v>
      </c>
      <c r="O53" s="2">
        <f t="shared" si="8"/>
        <v>0.35459133722186997</v>
      </c>
      <c r="P53" s="2">
        <f t="shared" si="9"/>
        <v>0.27495098758416803</v>
      </c>
      <c r="Q53" s="2">
        <f t="shared" si="10"/>
        <v>0.38423004238172098</v>
      </c>
      <c r="R53" s="2">
        <f t="shared" si="11"/>
        <v>2.24796618486512</v>
      </c>
      <c r="S53" s="2">
        <f t="shared" si="12"/>
        <v>0.32692919994852798</v>
      </c>
      <c r="T53" s="2">
        <f t="shared" si="13"/>
        <v>-0.57510584007211696</v>
      </c>
      <c r="U53" s="2">
        <f t="shared" si="14"/>
        <v>0.269906182344896</v>
      </c>
      <c r="V53" s="2">
        <f t="shared" si="15"/>
        <v>0.248670055546409</v>
      </c>
      <c r="W53" s="2">
        <f t="shared" si="16"/>
        <v>0.16921166052100001</v>
      </c>
      <c r="X53" s="2">
        <f t="shared" si="17"/>
        <v>0.25498275136460702</v>
      </c>
      <c r="Y53" s="2">
        <f t="shared" si="18"/>
        <v>0.94033506920763099</v>
      </c>
      <c r="Z53" s="2">
        <f t="shared" si="19"/>
        <v>0.49932190835227902</v>
      </c>
      <c r="AA53" s="2">
        <f t="shared" si="20"/>
        <v>2.70617835778092</v>
      </c>
      <c r="AB53" s="2">
        <f t="shared" si="21"/>
        <v>0.22019577057549999</v>
      </c>
      <c r="AC53" s="2">
        <f t="shared" si="22"/>
        <v>1.2726258632207701</v>
      </c>
      <c r="AD53" s="2">
        <f t="shared" si="23"/>
        <v>6.5295545171999994E-2</v>
      </c>
      <c r="AE53" s="2">
        <f t="shared" si="24"/>
        <v>0.119960732486959</v>
      </c>
      <c r="AF53" s="2">
        <f t="shared" si="25"/>
        <v>8.8503680301829493E-2</v>
      </c>
      <c r="AG53" s="5">
        <f t="shared" si="26"/>
        <v>9.3787800126121201E-2</v>
      </c>
      <c r="AH53" s="2">
        <f t="shared" si="27"/>
        <v>24.108237474439001</v>
      </c>
      <c r="AI53" s="2">
        <f t="shared" si="28"/>
        <v>0.27262586322077098</v>
      </c>
      <c r="AJ53" s="2">
        <f t="shared" si="29"/>
        <v>0.18084357397168699</v>
      </c>
      <c r="AK53" s="2">
        <f t="shared" si="30"/>
        <v>0.104151636283459</v>
      </c>
      <c r="AL53" s="2">
        <f t="shared" si="31"/>
        <v>0.107542253304356</v>
      </c>
      <c r="AM53" s="2">
        <f t="shared" si="32"/>
        <v>2.24796618486512</v>
      </c>
      <c r="AN53" s="2">
        <f t="shared" si="33"/>
        <v>0.103916115349</v>
      </c>
      <c r="AO53" s="2">
        <f t="shared" si="34"/>
        <v>0.27703872198843099</v>
      </c>
      <c r="AP53" s="2">
        <f t="shared" si="35"/>
        <v>1.76639989004777</v>
      </c>
      <c r="AQ53" s="2">
        <f t="shared" si="36"/>
        <v>0.114881524183</v>
      </c>
      <c r="AR53" s="2">
        <f t="shared" si="37"/>
        <v>0.315495397087455</v>
      </c>
      <c r="AS53" s="2">
        <f t="shared" si="38"/>
        <v>0.62834859591032999</v>
      </c>
      <c r="AT53" s="2">
        <f t="shared" si="39"/>
        <v>0.18630368476832801</v>
      </c>
      <c r="AU53" s="2">
        <f t="shared" si="40"/>
        <v>0.35804235461727102</v>
      </c>
      <c r="AV53" s="2">
        <f t="shared" si="41"/>
        <v>0.19942700334605501</v>
      </c>
      <c r="AW53" s="2">
        <f t="shared" si="42"/>
        <v>0.44830515987091601</v>
      </c>
      <c r="AX53" s="2">
        <f t="shared" si="43"/>
        <v>-4.9585979011000002E-2</v>
      </c>
      <c r="AY53" s="5">
        <f t="shared" si="44"/>
        <v>0.93914093023460699</v>
      </c>
      <c r="AZ53" s="2">
        <f t="shared" si="45"/>
        <v>9.0329251166619703E-2</v>
      </c>
      <c r="BA53" s="2">
        <f t="shared" si="46"/>
        <v>1.06604116952618</v>
      </c>
      <c r="BB53" s="2">
        <f t="shared" si="47"/>
        <v>3.7237199854888201E-2</v>
      </c>
      <c r="BC53" s="2">
        <f t="shared" si="48"/>
        <v>0.73217373468198799</v>
      </c>
      <c r="BD53" s="2">
        <f t="shared" si="49"/>
        <v>6.6680754193465405E-2</v>
      </c>
      <c r="BE53" s="2">
        <f t="shared" si="50"/>
        <v>-8.5189592677800005E-2</v>
      </c>
      <c r="BF53" s="2">
        <f t="shared" si="51"/>
        <v>0.28590915351326601</v>
      </c>
    </row>
    <row r="54" spans="1:58" s="2" customFormat="1" x14ac:dyDescent="0.15">
      <c r="A54" s="3">
        <v>141</v>
      </c>
      <c r="B54" s="4">
        <v>8.5905969258600001E-2</v>
      </c>
      <c r="C54" s="4">
        <v>0.14230609503800001</v>
      </c>
      <c r="D54" s="4">
        <v>0.15880936279399999</v>
      </c>
      <c r="E54" s="4">
        <v>0.25354531250500001</v>
      </c>
      <c r="F54" s="4">
        <v>0.30959252740100002</v>
      </c>
      <c r="G54" s="2">
        <f t="shared" si="0"/>
        <v>2.17553947579216</v>
      </c>
      <c r="H54" s="2">
        <f t="shared" si="1"/>
        <v>0.167286432363</v>
      </c>
      <c r="I54" s="2">
        <f t="shared" si="2"/>
        <v>0.37018575418556698</v>
      </c>
      <c r="J54" s="2">
        <f t="shared" si="3"/>
        <v>-0.58596140322432899</v>
      </c>
      <c r="K54" s="2">
        <f t="shared" si="4"/>
        <v>1.17553947579216</v>
      </c>
      <c r="L54" s="2">
        <f t="shared" si="5"/>
        <v>0.65967262139717997</v>
      </c>
      <c r="M54" s="2">
        <f t="shared" si="6"/>
        <v>0.263609635132737</v>
      </c>
      <c r="N54" s="2">
        <f t="shared" si="7"/>
        <v>0.24314112110250799</v>
      </c>
      <c r="O54" s="2">
        <f t="shared" si="8"/>
        <v>0.31713139141839602</v>
      </c>
      <c r="P54" s="2">
        <f t="shared" si="9"/>
        <v>0.24885147001637301</v>
      </c>
      <c r="Q54" s="2">
        <f t="shared" si="10"/>
        <v>0.32190981241392402</v>
      </c>
      <c r="R54" s="2">
        <f t="shared" si="11"/>
        <v>1.9494601700693699</v>
      </c>
      <c r="S54" s="2">
        <f t="shared" si="12"/>
        <v>0.27833855001588897</v>
      </c>
      <c r="T54" s="2">
        <f t="shared" si="13"/>
        <v>-0.62083062945409295</v>
      </c>
      <c r="U54" s="2">
        <f t="shared" si="14"/>
        <v>0.23355463181196101</v>
      </c>
      <c r="V54" s="2">
        <f t="shared" si="15"/>
        <v>0.214719657613229</v>
      </c>
      <c r="W54" s="2">
        <f t="shared" si="16"/>
        <v>0.150783164607</v>
      </c>
      <c r="X54" s="2">
        <f t="shared" si="17"/>
        <v>0.220314729951988</v>
      </c>
      <c r="Y54" s="2">
        <f t="shared" si="18"/>
        <v>0.90659241802141999</v>
      </c>
      <c r="Z54" s="2">
        <f t="shared" si="19"/>
        <v>0.39623070087624601</v>
      </c>
      <c r="AA54" s="2">
        <f t="shared" si="20"/>
        <v>2.6099778025594098</v>
      </c>
      <c r="AB54" s="2">
        <f t="shared" si="21"/>
        <v>0.2342009450975</v>
      </c>
      <c r="AC54" s="2">
        <f t="shared" si="22"/>
        <v>1.2210540370171299</v>
      </c>
      <c r="AD54" s="2">
        <f t="shared" si="23"/>
        <v>5.6047214896000001E-2</v>
      </c>
      <c r="AE54" s="2">
        <f t="shared" si="24"/>
        <v>9.9526636152448E-2</v>
      </c>
      <c r="AF54" s="2">
        <f t="shared" si="25"/>
        <v>7.46872864971828E-2</v>
      </c>
      <c r="AG54" s="5">
        <f t="shared" si="26"/>
        <v>7.9078007750559703E-2</v>
      </c>
      <c r="AH54" s="2">
        <f t="shared" si="27"/>
        <v>19.9714450510569</v>
      </c>
      <c r="AI54" s="2">
        <f t="shared" si="28"/>
        <v>0.22105403701713</v>
      </c>
      <c r="AJ54" s="2">
        <f t="shared" si="29"/>
        <v>0.14832654756392599</v>
      </c>
      <c r="AK54" s="2">
        <f t="shared" si="30"/>
        <v>8.6813980017192302E-2</v>
      </c>
      <c r="AL54" s="2">
        <f t="shared" si="31"/>
        <v>8.9906468299060696E-2</v>
      </c>
      <c r="AM54" s="2">
        <f t="shared" si="32"/>
        <v>1.9494601700693699</v>
      </c>
      <c r="AN54" s="2">
        <f t="shared" si="33"/>
        <v>9.4735949710999995E-2</v>
      </c>
      <c r="AO54" s="2">
        <f t="shared" si="34"/>
        <v>0.229743847677504</v>
      </c>
      <c r="AP54" s="2">
        <f t="shared" si="35"/>
        <v>1.59653881889752</v>
      </c>
      <c r="AQ54" s="2">
        <f t="shared" si="36"/>
        <v>0.111239217467</v>
      </c>
      <c r="AR54" s="2">
        <f t="shared" si="37"/>
        <v>0.28101256013575399</v>
      </c>
      <c r="AS54" s="2">
        <f t="shared" si="38"/>
        <v>0.59161506341549097</v>
      </c>
      <c r="AT54" s="2">
        <f t="shared" si="39"/>
        <v>0.20172559148771599</v>
      </c>
      <c r="AU54" s="2">
        <f t="shared" si="40"/>
        <v>0.359412420953236</v>
      </c>
      <c r="AV54" s="2">
        <f t="shared" si="41"/>
        <v>0.219973652089891</v>
      </c>
      <c r="AW54" s="2">
        <f t="shared" si="42"/>
        <v>0.428829873213941</v>
      </c>
      <c r="AX54" s="2">
        <f t="shared" si="43"/>
        <v>-5.5192002571000001E-2</v>
      </c>
      <c r="AY54" s="5">
        <f t="shared" si="44"/>
        <v>0.90134724303170599</v>
      </c>
      <c r="AZ54" s="2">
        <f t="shared" si="45"/>
        <v>7.9451420328927394E-2</v>
      </c>
      <c r="BA54" s="2">
        <f t="shared" si="46"/>
        <v>1.22308090899321</v>
      </c>
      <c r="BB54" s="2">
        <f t="shared" si="47"/>
        <v>2.7583523297320601E-2</v>
      </c>
      <c r="BC54" s="2">
        <f t="shared" si="48"/>
        <v>0.73696934165239403</v>
      </c>
      <c r="BD54" s="2">
        <f t="shared" si="49"/>
        <v>5.7673009573442499E-2</v>
      </c>
      <c r="BE54" s="2">
        <f t="shared" si="50"/>
        <v>-9.282518979828E-2</v>
      </c>
      <c r="BF54" s="2">
        <f t="shared" si="51"/>
        <v>0.26885593253423101</v>
      </c>
    </row>
    <row r="55" spans="1:58" s="2" customFormat="1" x14ac:dyDescent="0.15">
      <c r="A55" s="3">
        <v>174.5</v>
      </c>
      <c r="B55" s="4">
        <v>7.6253807413999994E-2</v>
      </c>
      <c r="C55" s="4">
        <v>0.128059564839</v>
      </c>
      <c r="D55" s="4">
        <v>0.13754183599100001</v>
      </c>
      <c r="E55" s="4">
        <v>0.24299974667499999</v>
      </c>
      <c r="F55" s="4">
        <v>0.30763612569900001</v>
      </c>
      <c r="G55" s="2">
        <f t="shared" si="0"/>
        <v>2.4022893259536602</v>
      </c>
      <c r="H55" s="2">
        <f t="shared" si="1"/>
        <v>0.17957656086000001</v>
      </c>
      <c r="I55" s="2">
        <f t="shared" si="2"/>
        <v>0.41216051652532398</v>
      </c>
      <c r="J55" s="2">
        <f t="shared" si="3"/>
        <v>-0.55246390410796997</v>
      </c>
      <c r="K55" s="2">
        <f t="shared" si="4"/>
        <v>1.40228932595366</v>
      </c>
      <c r="L55" s="2">
        <f t="shared" si="5"/>
        <v>0.76024225935093104</v>
      </c>
      <c r="M55" s="2">
        <f t="shared" si="6"/>
        <v>0.28787654363901399</v>
      </c>
      <c r="N55" s="2">
        <f t="shared" si="7"/>
        <v>0.26622778644470801</v>
      </c>
      <c r="O55" s="2">
        <f t="shared" si="8"/>
        <v>0.34968997410316499</v>
      </c>
      <c r="P55" s="2">
        <f t="shared" si="9"/>
        <v>0.27205581794899902</v>
      </c>
      <c r="Q55" s="2">
        <f t="shared" si="10"/>
        <v>0.38208155916407499</v>
      </c>
      <c r="R55" s="2">
        <f t="shared" si="11"/>
        <v>2.2366731073673498</v>
      </c>
      <c r="S55" s="2">
        <f t="shared" si="12"/>
        <v>0.32603529631231198</v>
      </c>
      <c r="T55" s="2">
        <f t="shared" si="13"/>
        <v>-0.57678869546288003</v>
      </c>
      <c r="U55" s="2">
        <f t="shared" si="14"/>
        <v>0.26994010112741201</v>
      </c>
      <c r="V55" s="2">
        <f t="shared" si="15"/>
        <v>0.24898817562839301</v>
      </c>
      <c r="W55" s="2">
        <f t="shared" si="16"/>
        <v>0.170094289708</v>
      </c>
      <c r="X55" s="2">
        <f t="shared" si="17"/>
        <v>0.25493115034561498</v>
      </c>
      <c r="Y55" s="2">
        <f t="shared" si="18"/>
        <v>0.93919197141163602</v>
      </c>
      <c r="Z55" s="2">
        <f t="shared" si="19"/>
        <v>0.495551104899912</v>
      </c>
      <c r="AA55" s="2">
        <f t="shared" si="20"/>
        <v>2.7014722735168699</v>
      </c>
      <c r="AB55" s="2">
        <f t="shared" si="21"/>
        <v>0.22258898084500001</v>
      </c>
      <c r="AC55" s="2">
        <f t="shared" si="22"/>
        <v>1.26599360661247</v>
      </c>
      <c r="AD55" s="2">
        <f t="shared" si="23"/>
        <v>6.4636379024000004E-2</v>
      </c>
      <c r="AE55" s="2">
        <f t="shared" si="24"/>
        <v>0.11738497665495</v>
      </c>
      <c r="AF55" s="2">
        <f t="shared" si="25"/>
        <v>8.7105337625157903E-2</v>
      </c>
      <c r="AG55" s="5">
        <f t="shared" si="26"/>
        <v>9.2281799132674799E-2</v>
      </c>
      <c r="AH55" s="2">
        <f t="shared" si="27"/>
        <v>23.5857273640095</v>
      </c>
      <c r="AI55" s="2">
        <f t="shared" si="28"/>
        <v>0.26599360661247101</v>
      </c>
      <c r="AJ55" s="2">
        <f t="shared" si="29"/>
        <v>0.176702159869569</v>
      </c>
      <c r="AK55" s="2">
        <f t="shared" si="30"/>
        <v>0.102578109589694</v>
      </c>
      <c r="AL55" s="2">
        <f t="shared" si="31"/>
        <v>0.10550860515577801</v>
      </c>
      <c r="AM55" s="2">
        <f t="shared" si="32"/>
        <v>2.2366731073673498</v>
      </c>
      <c r="AN55" s="2">
        <f t="shared" si="33"/>
        <v>0.105457910684</v>
      </c>
      <c r="AO55" s="2">
        <f t="shared" si="34"/>
        <v>0.27712585296246101</v>
      </c>
      <c r="AP55" s="2">
        <f t="shared" si="35"/>
        <v>1.7667333355278201</v>
      </c>
      <c r="AQ55" s="2">
        <f t="shared" si="36"/>
        <v>0.11494018183599999</v>
      </c>
      <c r="AR55" s="2">
        <f t="shared" si="37"/>
        <v>0.30976228939524503</v>
      </c>
      <c r="AS55" s="2">
        <f t="shared" si="38"/>
        <v>0.61291162137357402</v>
      </c>
      <c r="AT55" s="2">
        <f t="shared" si="39"/>
        <v>0.18868487662870501</v>
      </c>
      <c r="AU55" s="2">
        <f t="shared" si="40"/>
        <v>0.35803945827727401</v>
      </c>
      <c r="AV55" s="2">
        <f t="shared" si="41"/>
        <v>0.19986383505181701</v>
      </c>
      <c r="AW55" s="2">
        <f t="shared" si="42"/>
        <v>0.44703006499570302</v>
      </c>
      <c r="AX55" s="2">
        <f t="shared" si="43"/>
        <v>-5.0303802811999997E-2</v>
      </c>
      <c r="AY55" s="5">
        <f t="shared" si="44"/>
        <v>0.947196498771393</v>
      </c>
      <c r="AZ55" s="2">
        <f t="shared" si="45"/>
        <v>8.9514753724027202E-2</v>
      </c>
      <c r="BA55" s="2">
        <f t="shared" si="46"/>
        <v>1.0890909147161201</v>
      </c>
      <c r="BB55" s="2">
        <f t="shared" si="47"/>
        <v>3.63606870097214E-2</v>
      </c>
      <c r="BC55" s="2">
        <f t="shared" si="48"/>
        <v>0.73826193516669403</v>
      </c>
      <c r="BD55" s="2">
        <f t="shared" si="49"/>
        <v>6.4706167097029602E-2</v>
      </c>
      <c r="BE55" s="2">
        <f t="shared" si="50"/>
        <v>-8.6230297869599903E-2</v>
      </c>
      <c r="BF55" s="2">
        <f t="shared" si="51"/>
        <v>0.28480403131418702</v>
      </c>
    </row>
    <row r="56" spans="1:58" s="2" customFormat="1" x14ac:dyDescent="0.15">
      <c r="A56" s="3">
        <v>211.5</v>
      </c>
      <c r="B56" s="4">
        <v>3.2649064772899999E-2</v>
      </c>
      <c r="C56" s="4">
        <v>6.1270369280700003E-2</v>
      </c>
      <c r="D56" s="4">
        <v>4.8566157250199998E-2</v>
      </c>
      <c r="E56" s="4">
        <v>0.186415591943</v>
      </c>
      <c r="F56" s="4">
        <v>0.30304038423200003</v>
      </c>
      <c r="G56" s="2">
        <f t="shared" si="0"/>
        <v>4.9459532852441397</v>
      </c>
      <c r="H56" s="2">
        <f t="shared" si="1"/>
        <v>0.24177001495129999</v>
      </c>
      <c r="I56" s="2">
        <f t="shared" si="2"/>
        <v>0.66363677882176997</v>
      </c>
      <c r="J56" s="2">
        <f t="shared" si="3"/>
        <v>-0.25508750171491201</v>
      </c>
      <c r="K56" s="2">
        <f t="shared" si="4"/>
        <v>3.9459532852441401</v>
      </c>
      <c r="L56" s="2">
        <f t="shared" si="5"/>
        <v>1.6182335207258001</v>
      </c>
      <c r="M56" s="2">
        <f t="shared" si="6"/>
        <v>0.41958869648799402</v>
      </c>
      <c r="N56" s="2">
        <f t="shared" si="7"/>
        <v>0.40137655862048399</v>
      </c>
      <c r="O56" s="2">
        <f t="shared" si="8"/>
        <v>0.53489884665643195</v>
      </c>
      <c r="P56" s="2">
        <f t="shared" si="9"/>
        <v>0.40055895188844798</v>
      </c>
      <c r="Q56" s="2">
        <f t="shared" si="10"/>
        <v>0.72374713482025099</v>
      </c>
      <c r="R56" s="2">
        <f t="shared" si="11"/>
        <v>6.23974391613518</v>
      </c>
      <c r="S56" s="2">
        <f t="shared" si="12"/>
        <v>0.57698656949084004</v>
      </c>
      <c r="T56" s="2">
        <f t="shared" si="13"/>
        <v>-0.14366145058858501</v>
      </c>
      <c r="U56" s="2">
        <f t="shared" si="14"/>
        <v>0.448224998140973</v>
      </c>
      <c r="V56" s="2">
        <f t="shared" si="15"/>
        <v>0.43435975720655101</v>
      </c>
      <c r="W56" s="2">
        <f t="shared" si="16"/>
        <v>0.2544742269818</v>
      </c>
      <c r="X56" s="2">
        <f t="shared" si="17"/>
        <v>0.42915614019104498</v>
      </c>
      <c r="Y56" s="2">
        <f t="shared" si="18"/>
        <v>1.10623104947396</v>
      </c>
      <c r="Z56" s="2">
        <f t="shared" si="19"/>
        <v>1.49794794103784</v>
      </c>
      <c r="AA56" s="2">
        <f t="shared" si="20"/>
        <v>3.1754231910188602</v>
      </c>
      <c r="AB56" s="2">
        <f t="shared" si="21"/>
        <v>0.1758032707411</v>
      </c>
      <c r="AC56" s="2">
        <f t="shared" si="22"/>
        <v>1.6256171550535301</v>
      </c>
      <c r="AD56" s="2">
        <f t="shared" si="23"/>
        <v>0.116624792289</v>
      </c>
      <c r="AE56" s="2">
        <f t="shared" si="24"/>
        <v>0.23827432489516101</v>
      </c>
      <c r="AF56" s="2">
        <f t="shared" si="25"/>
        <v>0.166699411062846</v>
      </c>
      <c r="AG56" s="5">
        <f t="shared" si="26"/>
        <v>0.176801386464677</v>
      </c>
      <c r="AH56" s="2">
        <f t="shared" si="27"/>
        <v>48.588753140584899</v>
      </c>
      <c r="AI56" s="2">
        <f t="shared" si="28"/>
        <v>0.62561715505353299</v>
      </c>
      <c r="AJ56" s="2">
        <f t="shared" si="29"/>
        <v>0.38609390731169502</v>
      </c>
      <c r="AK56" s="2">
        <f t="shared" si="30"/>
        <v>0.20542020277231099</v>
      </c>
      <c r="AL56" s="2">
        <f t="shared" si="31"/>
        <v>0.20830474122665801</v>
      </c>
      <c r="AM56" s="2">
        <f t="shared" si="32"/>
        <v>6.23974391613518</v>
      </c>
      <c r="AN56" s="2">
        <f t="shared" si="33"/>
        <v>0.1378494346928</v>
      </c>
      <c r="AO56" s="2">
        <f t="shared" si="34"/>
        <v>0.58663889925962498</v>
      </c>
      <c r="AP56" s="2">
        <f t="shared" si="35"/>
        <v>3.8383846385588298</v>
      </c>
      <c r="AQ56" s="2">
        <f t="shared" si="36"/>
        <v>0.12514522266229999</v>
      </c>
      <c r="AR56" s="2">
        <f t="shared" si="37"/>
        <v>0.50525763367457799</v>
      </c>
      <c r="AS56" s="2">
        <f t="shared" si="38"/>
        <v>0.84603025430536205</v>
      </c>
      <c r="AT56" s="2">
        <f t="shared" si="39"/>
        <v>0.111253746595329</v>
      </c>
      <c r="AU56" s="2">
        <f t="shared" si="40"/>
        <v>0.33849041993578499</v>
      </c>
      <c r="AV56" s="2">
        <f t="shared" si="41"/>
        <v>9.0267954110018103E-2</v>
      </c>
      <c r="AW56" s="2">
        <f t="shared" si="42"/>
        <v>0.56324891747995498</v>
      </c>
      <c r="AX56" s="2">
        <f t="shared" si="43"/>
        <v>-8.5204303732999802E-3</v>
      </c>
      <c r="AY56" s="5">
        <f t="shared" si="44"/>
        <v>1.0525466817423901</v>
      </c>
      <c r="AZ56" s="2">
        <f t="shared" si="45"/>
        <v>0.14860400835263499</v>
      </c>
      <c r="BA56" s="2">
        <f t="shared" si="46"/>
        <v>0.651827742030889</v>
      </c>
      <c r="BB56" s="2">
        <f t="shared" si="47"/>
        <v>0.110982166273077</v>
      </c>
      <c r="BC56" s="2">
        <f t="shared" si="48"/>
        <v>0.75931896120140696</v>
      </c>
      <c r="BD56" s="2">
        <f t="shared" si="49"/>
        <v>0.10166777552664</v>
      </c>
      <c r="BE56" s="2">
        <f t="shared" si="50"/>
        <v>-2.7286846457027999E-2</v>
      </c>
      <c r="BF56" s="2">
        <f t="shared" si="51"/>
        <v>0.35904327864136198</v>
      </c>
    </row>
    <row r="57" spans="1:58" s="2" customFormat="1" x14ac:dyDescent="0.15">
      <c r="A57" s="3">
        <v>203</v>
      </c>
      <c r="B57" s="4">
        <v>4.4017108264499998E-2</v>
      </c>
      <c r="C57" s="4">
        <v>7.9682924526600002E-2</v>
      </c>
      <c r="D57" s="4">
        <v>7.1766045975500001E-2</v>
      </c>
      <c r="E57" s="4">
        <v>0.205307685219</v>
      </c>
      <c r="F57" s="4">
        <v>0.31559601889400002</v>
      </c>
      <c r="G57" s="2">
        <f t="shared" si="0"/>
        <v>3.96064804058047</v>
      </c>
      <c r="H57" s="2">
        <f t="shared" si="1"/>
        <v>0.23591309436739999</v>
      </c>
      <c r="I57" s="2">
        <f t="shared" si="2"/>
        <v>0.59682686946563401</v>
      </c>
      <c r="J57" s="2">
        <f t="shared" si="3"/>
        <v>-0.35567690886787201</v>
      </c>
      <c r="K57" s="2">
        <f t="shared" si="4"/>
        <v>2.96064804058047</v>
      </c>
      <c r="L57" s="2">
        <f t="shared" si="5"/>
        <v>1.3292833789862899</v>
      </c>
      <c r="M57" s="2">
        <f t="shared" si="6"/>
        <v>0.39526188363044401</v>
      </c>
      <c r="N57" s="2">
        <f t="shared" si="7"/>
        <v>0.37585669008550898</v>
      </c>
      <c r="O57" s="2">
        <f t="shared" si="8"/>
        <v>0.49283192296182399</v>
      </c>
      <c r="P57" s="2">
        <f t="shared" si="9"/>
        <v>0.37523229282305398</v>
      </c>
      <c r="Q57" s="2">
        <f t="shared" si="10"/>
        <v>0.62946270435811702</v>
      </c>
      <c r="R57" s="2">
        <f t="shared" si="11"/>
        <v>4.3975673259432497</v>
      </c>
      <c r="S57" s="2">
        <f t="shared" si="12"/>
        <v>0.51673798156416695</v>
      </c>
      <c r="T57" s="2">
        <f t="shared" si="13"/>
        <v>-0.30915063377878299</v>
      </c>
      <c r="U57" s="2">
        <f t="shared" si="14"/>
        <v>0.41217105605200499</v>
      </c>
      <c r="V57" s="2">
        <f t="shared" si="15"/>
        <v>0.39424471629871699</v>
      </c>
      <c r="W57" s="2">
        <f t="shared" si="16"/>
        <v>0.2438299729185</v>
      </c>
      <c r="X57" s="2">
        <f t="shared" si="17"/>
        <v>0.391767627755083</v>
      </c>
      <c r="Y57" s="2">
        <f t="shared" si="18"/>
        <v>1.0627618286136</v>
      </c>
      <c r="Z57" s="2">
        <f t="shared" si="19"/>
        <v>1.0970377502427699</v>
      </c>
      <c r="AA57" s="2">
        <f t="shared" si="20"/>
        <v>3.0558163771936799</v>
      </c>
      <c r="AB57" s="2">
        <f t="shared" si="21"/>
        <v>0.19368103243474999</v>
      </c>
      <c r="AC57" s="2">
        <f t="shared" si="22"/>
        <v>1.5371856078224999</v>
      </c>
      <c r="AD57" s="2">
        <f t="shared" si="23"/>
        <v>0.110288333675</v>
      </c>
      <c r="AE57" s="2">
        <f t="shared" si="24"/>
        <v>0.21172499409041501</v>
      </c>
      <c r="AF57" s="2">
        <f t="shared" si="25"/>
        <v>0.15280967507190499</v>
      </c>
      <c r="AG57" s="5">
        <f t="shared" si="26"/>
        <v>0.16204515650791401</v>
      </c>
      <c r="AH57" s="2">
        <f t="shared" si="27"/>
        <v>42.9953217072025</v>
      </c>
      <c r="AI57" s="2">
        <f t="shared" si="28"/>
        <v>0.53718560782250502</v>
      </c>
      <c r="AJ57" s="2">
        <f t="shared" si="29"/>
        <v>0.33724711954540898</v>
      </c>
      <c r="AK57" s="2">
        <f t="shared" si="30"/>
        <v>0.18643179268298901</v>
      </c>
      <c r="AL57" s="2">
        <f t="shared" si="31"/>
        <v>0.18788922176544401</v>
      </c>
      <c r="AM57" s="2">
        <f t="shared" si="32"/>
        <v>4.3975673259432497</v>
      </c>
      <c r="AN57" s="2">
        <f t="shared" si="33"/>
        <v>0.13354163924349999</v>
      </c>
      <c r="AO57" s="2">
        <f t="shared" si="34"/>
        <v>0.481971490649023</v>
      </c>
      <c r="AP57" s="2">
        <f t="shared" si="35"/>
        <v>2.86079137325037</v>
      </c>
      <c r="AQ57" s="2">
        <f t="shared" si="36"/>
        <v>0.1256247606924</v>
      </c>
      <c r="AR57" s="2">
        <f t="shared" si="37"/>
        <v>0.44080315770593398</v>
      </c>
      <c r="AS57" s="2">
        <f t="shared" si="38"/>
        <v>0.825872247036747</v>
      </c>
      <c r="AT57" s="2">
        <f t="shared" si="39"/>
        <v>0.13267515580073999</v>
      </c>
      <c r="AU57" s="2">
        <f t="shared" si="40"/>
        <v>0.341845248343351</v>
      </c>
      <c r="AV57" s="2">
        <f t="shared" si="41"/>
        <v>0.12108943634255601</v>
      </c>
      <c r="AW57" s="2">
        <f t="shared" si="42"/>
        <v>0.53249894877690995</v>
      </c>
      <c r="AX57" s="2">
        <f t="shared" si="43"/>
        <v>-1.53364270174E-2</v>
      </c>
      <c r="AY57" s="5">
        <f t="shared" si="44"/>
        <v>1.0335584532614801</v>
      </c>
      <c r="AZ57" s="2">
        <f t="shared" si="45"/>
        <v>0.14140833842862999</v>
      </c>
      <c r="BA57" s="2">
        <f t="shared" si="46"/>
        <v>0.74585324594460001</v>
      </c>
      <c r="BB57" s="2">
        <f t="shared" si="47"/>
        <v>9.7005196564248206E-2</v>
      </c>
      <c r="BC57" s="2">
        <f t="shared" si="48"/>
        <v>0.78543361103445997</v>
      </c>
      <c r="BD57" s="2">
        <f t="shared" si="49"/>
        <v>0.105977845949358</v>
      </c>
      <c r="BE57" s="2">
        <f t="shared" si="50"/>
        <v>-3.7159426188144003E-2</v>
      </c>
      <c r="BF57" s="2">
        <f t="shared" si="51"/>
        <v>0.35475110944649901</v>
      </c>
    </row>
    <row r="58" spans="1:58" s="2" customFormat="1" x14ac:dyDescent="0.15">
      <c r="A58" s="3">
        <v>210</v>
      </c>
      <c r="B58" s="4">
        <v>4.5791806141499997E-2</v>
      </c>
      <c r="C58" s="4">
        <v>8.1469468113900004E-2</v>
      </c>
      <c r="D58" s="4">
        <v>7.1812583941799998E-2</v>
      </c>
      <c r="E58" s="4">
        <v>0.20851454312600001</v>
      </c>
      <c r="F58" s="4">
        <v>0.31755324033600002</v>
      </c>
      <c r="G58" s="2">
        <f t="shared" si="0"/>
        <v>3.8978189951116202</v>
      </c>
      <c r="H58" s="2">
        <f t="shared" si="1"/>
        <v>0.2360837722221</v>
      </c>
      <c r="I58" s="2">
        <f t="shared" si="2"/>
        <v>0.59165497908433395</v>
      </c>
      <c r="J58" s="2">
        <f t="shared" si="3"/>
        <v>-0.362640756906151</v>
      </c>
      <c r="K58" s="2">
        <f t="shared" si="4"/>
        <v>2.8978189951116202</v>
      </c>
      <c r="L58" s="2">
        <f t="shared" si="5"/>
        <v>1.3093926213870899</v>
      </c>
      <c r="M58" s="2">
        <f t="shared" si="6"/>
        <v>0.39390068237957598</v>
      </c>
      <c r="N58" s="2">
        <f t="shared" si="7"/>
        <v>0.37457947549242199</v>
      </c>
      <c r="O58" s="2">
        <f t="shared" si="8"/>
        <v>0.489885601493735</v>
      </c>
      <c r="P58" s="2">
        <f t="shared" si="9"/>
        <v>0.373738062439748</v>
      </c>
      <c r="Q58" s="2">
        <f t="shared" si="10"/>
        <v>0.63113052320398799</v>
      </c>
      <c r="R58" s="2">
        <f t="shared" si="11"/>
        <v>4.4219720682012902</v>
      </c>
      <c r="S58" s="2">
        <f t="shared" si="12"/>
        <v>0.518887686164338</v>
      </c>
      <c r="T58" s="2">
        <f t="shared" si="13"/>
        <v>-0.30664583418453201</v>
      </c>
      <c r="U58" s="2">
        <f t="shared" si="14"/>
        <v>0.41446497552413403</v>
      </c>
      <c r="V58" s="2">
        <f t="shared" si="15"/>
        <v>0.39694417244100899</v>
      </c>
      <c r="W58" s="2">
        <f t="shared" si="16"/>
        <v>0.24574065639420001</v>
      </c>
      <c r="X58" s="2">
        <f t="shared" si="17"/>
        <v>0.39382030044496502</v>
      </c>
      <c r="Y58" s="2">
        <f t="shared" si="18"/>
        <v>1.06354620172515</v>
      </c>
      <c r="Z58" s="2">
        <f t="shared" si="19"/>
        <v>1.1028485604534799</v>
      </c>
      <c r="AA58" s="2">
        <f t="shared" si="20"/>
        <v>3.05898733907781</v>
      </c>
      <c r="AB58" s="2">
        <f t="shared" si="21"/>
        <v>0.19468291213889999</v>
      </c>
      <c r="AC58" s="2">
        <f t="shared" si="22"/>
        <v>1.5229308976502001</v>
      </c>
      <c r="AD58" s="2">
        <f t="shared" si="23"/>
        <v>0.10903869720999999</v>
      </c>
      <c r="AE58" s="2">
        <f t="shared" si="24"/>
        <v>0.207271193252754</v>
      </c>
      <c r="AF58" s="2">
        <f t="shared" si="25"/>
        <v>0.15033489575425399</v>
      </c>
      <c r="AG58" s="5">
        <f t="shared" si="26"/>
        <v>0.15940276895074901</v>
      </c>
      <c r="AH58" s="2">
        <f t="shared" si="27"/>
        <v>42.063670036245099</v>
      </c>
      <c r="AI58" s="2">
        <f t="shared" si="28"/>
        <v>0.52293089765019696</v>
      </c>
      <c r="AJ58" s="2">
        <f t="shared" si="29"/>
        <v>0.32922410474430602</v>
      </c>
      <c r="AK58" s="2">
        <f t="shared" si="30"/>
        <v>0.18390412735705899</v>
      </c>
      <c r="AL58" s="2">
        <f t="shared" si="31"/>
        <v>0.18436208755545799</v>
      </c>
      <c r="AM58" s="2">
        <f t="shared" si="32"/>
        <v>4.4219720682012902</v>
      </c>
      <c r="AN58" s="2">
        <f t="shared" si="33"/>
        <v>0.1367019591842</v>
      </c>
      <c r="AO58" s="2">
        <f t="shared" si="34"/>
        <v>0.487651554147085</v>
      </c>
      <c r="AP58" s="2">
        <f t="shared" si="35"/>
        <v>2.9035933771021099</v>
      </c>
      <c r="AQ58" s="2">
        <f t="shared" si="36"/>
        <v>0.12704507501209999</v>
      </c>
      <c r="AR58" s="2">
        <f t="shared" si="37"/>
        <v>0.43811062019897801</v>
      </c>
      <c r="AS58" s="2">
        <f t="shared" si="38"/>
        <v>0.79763814550071699</v>
      </c>
      <c r="AT58" s="2">
        <f t="shared" si="39"/>
        <v>0.134097897540563</v>
      </c>
      <c r="AU58" s="2">
        <f t="shared" si="40"/>
        <v>0.34321277022130098</v>
      </c>
      <c r="AV58" s="2">
        <f t="shared" si="41"/>
        <v>0.12011196195258</v>
      </c>
      <c r="AW58" s="2">
        <f t="shared" si="42"/>
        <v>0.53113174081116599</v>
      </c>
      <c r="AX58" s="2">
        <f t="shared" si="43"/>
        <v>-1.8006377802100001E-2</v>
      </c>
      <c r="AY58" s="5">
        <f t="shared" si="44"/>
        <v>1.0409044809865799</v>
      </c>
      <c r="AZ58" s="2">
        <f t="shared" si="45"/>
        <v>0.13924909547687001</v>
      </c>
      <c r="BA58" s="2">
        <f t="shared" si="46"/>
        <v>0.74898382629014304</v>
      </c>
      <c r="BB58" s="2">
        <f t="shared" si="47"/>
        <v>9.4150546790463904E-2</v>
      </c>
      <c r="BC58" s="2">
        <f t="shared" si="48"/>
        <v>0.78931011583256505</v>
      </c>
      <c r="BD58" s="2">
        <f t="shared" si="49"/>
        <v>0.102568468571059</v>
      </c>
      <c r="BE58" s="2">
        <f t="shared" si="50"/>
        <v>-4.1174593036475901E-2</v>
      </c>
      <c r="BF58" s="2">
        <f t="shared" si="51"/>
        <v>0.35032442991273999</v>
      </c>
    </row>
    <row r="59" spans="1:58" s="2" customFormat="1" x14ac:dyDescent="0.15">
      <c r="A59" s="3">
        <v>180</v>
      </c>
      <c r="B59" s="4">
        <v>5.2245298136700001E-2</v>
      </c>
      <c r="C59" s="4">
        <v>9.2813848017900005E-2</v>
      </c>
      <c r="D59" s="4">
        <v>8.9466056918600004E-2</v>
      </c>
      <c r="E59" s="4">
        <v>0.21278494928399999</v>
      </c>
      <c r="F59" s="4">
        <v>0.29551331281600002</v>
      </c>
      <c r="G59" s="2">
        <f t="shared" si="0"/>
        <v>3.18393557779231</v>
      </c>
      <c r="H59" s="2">
        <f t="shared" si="1"/>
        <v>0.2026994647981</v>
      </c>
      <c r="I59" s="2">
        <f t="shared" si="2"/>
        <v>0.52198116753620805</v>
      </c>
      <c r="J59" s="2">
        <f t="shared" si="3"/>
        <v>-0.44710232914391101</v>
      </c>
      <c r="K59" s="2">
        <f t="shared" si="4"/>
        <v>2.18393557779231</v>
      </c>
      <c r="L59" s="2">
        <f t="shared" si="5"/>
        <v>1.0676952948851499</v>
      </c>
      <c r="M59" s="2">
        <f t="shared" si="6"/>
        <v>0.34227164337937099</v>
      </c>
      <c r="N59" s="2">
        <f t="shared" si="7"/>
        <v>0.31860399096195302</v>
      </c>
      <c r="O59" s="2">
        <f t="shared" si="8"/>
        <v>0.428815852944812</v>
      </c>
      <c r="P59" s="2">
        <f t="shared" si="9"/>
        <v>0.325277271407451</v>
      </c>
      <c r="Q59" s="2">
        <f t="shared" si="10"/>
        <v>0.53521635728025196</v>
      </c>
      <c r="R59" s="2">
        <f t="shared" si="11"/>
        <v>3.3030774239315202</v>
      </c>
      <c r="S59" s="2">
        <f t="shared" si="12"/>
        <v>0.43857589867554397</v>
      </c>
      <c r="T59" s="2">
        <f t="shared" si="13"/>
        <v>-0.43228586669315699</v>
      </c>
      <c r="U59" s="2">
        <f t="shared" si="14"/>
        <v>0.34924077827801597</v>
      </c>
      <c r="V59" s="2">
        <f t="shared" si="15"/>
        <v>0.32567619308972001</v>
      </c>
      <c r="W59" s="2">
        <f t="shared" si="16"/>
        <v>0.2060472558974</v>
      </c>
      <c r="X59" s="2">
        <f t="shared" si="17"/>
        <v>0.33208411845343999</v>
      </c>
      <c r="Y59" s="2">
        <f t="shared" si="18"/>
        <v>1.0174558257144399</v>
      </c>
      <c r="Z59" s="2">
        <f t="shared" si="19"/>
        <v>0.81743704813441098</v>
      </c>
      <c r="AA59" s="2">
        <f t="shared" si="20"/>
        <v>2.9225671401464202</v>
      </c>
      <c r="AB59" s="2">
        <f t="shared" si="21"/>
        <v>0.1924896848673</v>
      </c>
      <c r="AC59" s="2">
        <f t="shared" si="22"/>
        <v>1.3887886046939499</v>
      </c>
      <c r="AD59" s="2">
        <f t="shared" si="23"/>
        <v>8.2728363531999999E-2</v>
      </c>
      <c r="AE59" s="2">
        <f t="shared" si="24"/>
        <v>0.162755550629297</v>
      </c>
      <c r="AF59" s="2">
        <f t="shared" si="25"/>
        <v>0.116036633695188</v>
      </c>
      <c r="AG59" s="5">
        <f t="shared" si="26"/>
        <v>0.123071267661962</v>
      </c>
      <c r="AH59" s="2">
        <f t="shared" si="27"/>
        <v>32.843185974480299</v>
      </c>
      <c r="AI59" s="2">
        <f t="shared" si="28"/>
        <v>0.38878860469395299</v>
      </c>
      <c r="AJ59" s="2">
        <f t="shared" si="29"/>
        <v>0.25155020062675398</v>
      </c>
      <c r="AK59" s="2">
        <f t="shared" si="30"/>
        <v>0.14022083400115301</v>
      </c>
      <c r="AL59" s="2">
        <f t="shared" si="31"/>
        <v>0.143595916882334</v>
      </c>
      <c r="AM59" s="2">
        <f t="shared" si="32"/>
        <v>3.3030774239315202</v>
      </c>
      <c r="AN59" s="2">
        <f t="shared" si="33"/>
        <v>0.1233188923654</v>
      </c>
      <c r="AO59" s="2">
        <f t="shared" si="34"/>
        <v>0.40800159415429299</v>
      </c>
      <c r="AP59" s="2">
        <f t="shared" si="35"/>
        <v>2.37838747579544</v>
      </c>
      <c r="AQ59" s="2">
        <f t="shared" si="36"/>
        <v>0.1199711012661</v>
      </c>
      <c r="AR59" s="2">
        <f t="shared" si="37"/>
        <v>0.392577138147507</v>
      </c>
      <c r="AS59" s="2">
        <f t="shared" si="38"/>
        <v>0.67084906412289003</v>
      </c>
      <c r="AT59" s="2">
        <f t="shared" si="39"/>
        <v>0.15440355709968301</v>
      </c>
      <c r="AU59" s="2">
        <f t="shared" si="40"/>
        <v>0.35398546411295101</v>
      </c>
      <c r="AV59" s="2">
        <f t="shared" si="41"/>
        <v>0.149667777202701</v>
      </c>
      <c r="AW59" s="2">
        <f t="shared" si="42"/>
        <v>0.49436425596825401</v>
      </c>
      <c r="AX59" s="2">
        <f t="shared" si="43"/>
        <v>-3.7242737734100001E-2</v>
      </c>
      <c r="AY59" s="5">
        <f t="shared" si="44"/>
        <v>1.01651603324476</v>
      </c>
      <c r="AZ59" s="2">
        <f t="shared" si="45"/>
        <v>0.11023868553761799</v>
      </c>
      <c r="BA59" s="2">
        <f t="shared" si="46"/>
        <v>0.83167195211231904</v>
      </c>
      <c r="BB59" s="2">
        <f t="shared" si="47"/>
        <v>5.8590867180387599E-2</v>
      </c>
      <c r="BC59" s="2">
        <f t="shared" si="48"/>
        <v>0.72184254176694596</v>
      </c>
      <c r="BD59" s="2">
        <f t="shared" si="49"/>
        <v>7.64914419847392E-2</v>
      </c>
      <c r="BE59" s="2">
        <f t="shared" si="50"/>
        <v>-6.8026074489035901E-2</v>
      </c>
      <c r="BF59" s="2">
        <f t="shared" si="51"/>
        <v>0.31180349168058202</v>
      </c>
    </row>
    <row r="60" spans="1:58" s="2" customFormat="1" x14ac:dyDescent="0.15">
      <c r="A60" s="3">
        <v>160.5</v>
      </c>
      <c r="B60" s="4">
        <v>6.0008223718599998E-2</v>
      </c>
      <c r="C60" s="4">
        <v>0.107555579682</v>
      </c>
      <c r="D60" s="4">
        <v>0.105309712256</v>
      </c>
      <c r="E60" s="4">
        <v>0.22739678803300001</v>
      </c>
      <c r="F60" s="4">
        <v>0.301019416471</v>
      </c>
      <c r="G60" s="2">
        <f t="shared" si="0"/>
        <v>2.7987336162475001</v>
      </c>
      <c r="H60" s="2">
        <f t="shared" si="1"/>
        <v>0.193463836789</v>
      </c>
      <c r="I60" s="2">
        <f t="shared" si="2"/>
        <v>0.47350875264171399</v>
      </c>
      <c r="J60" s="2">
        <f t="shared" si="3"/>
        <v>-0.497176287400448</v>
      </c>
      <c r="K60" s="2">
        <f t="shared" si="4"/>
        <v>1.7987336162475001</v>
      </c>
      <c r="L60" s="2">
        <f t="shared" si="5"/>
        <v>0.922884668289637</v>
      </c>
      <c r="M60" s="2">
        <f t="shared" si="6"/>
        <v>0.31939658961804901</v>
      </c>
      <c r="N60" s="2">
        <f t="shared" si="7"/>
        <v>0.29633691034904103</v>
      </c>
      <c r="O60" s="2">
        <f t="shared" si="8"/>
        <v>0.39470263763559998</v>
      </c>
      <c r="P60" s="2">
        <f t="shared" si="9"/>
        <v>0.302666185820682</v>
      </c>
      <c r="Q60" s="2">
        <f t="shared" si="10"/>
        <v>0.48165314858953001</v>
      </c>
      <c r="R60" s="2">
        <f t="shared" si="11"/>
        <v>2.8584202731391399</v>
      </c>
      <c r="S60" s="2">
        <f t="shared" si="12"/>
        <v>0.40086805600076603</v>
      </c>
      <c r="T60" s="2">
        <f t="shared" si="13"/>
        <v>-0.48919170781493199</v>
      </c>
      <c r="U60" s="2">
        <f t="shared" si="14"/>
        <v>0.32390502193704301</v>
      </c>
      <c r="V60" s="2">
        <f t="shared" si="15"/>
        <v>0.30080676455829503</v>
      </c>
      <c r="W60" s="2">
        <f t="shared" si="16"/>
        <v>0.195709704215</v>
      </c>
      <c r="X60" s="2">
        <f t="shared" si="17"/>
        <v>0.30702474695809201</v>
      </c>
      <c r="Y60" s="2">
        <f t="shared" si="18"/>
        <v>0.99078410796173499</v>
      </c>
      <c r="Z60" s="2">
        <f t="shared" si="19"/>
        <v>0.69068633197856699</v>
      </c>
      <c r="AA60" s="2">
        <f t="shared" si="20"/>
        <v>2.84775930310968</v>
      </c>
      <c r="AB60" s="2">
        <f t="shared" si="21"/>
        <v>0.2031645643635</v>
      </c>
      <c r="AC60" s="2">
        <f t="shared" si="22"/>
        <v>1.3237628335687699</v>
      </c>
      <c r="AD60" s="2">
        <f t="shared" si="23"/>
        <v>7.3622628438000007E-2</v>
      </c>
      <c r="AE60" s="2">
        <f t="shared" si="24"/>
        <v>0.13932696955633</v>
      </c>
      <c r="AF60" s="2">
        <f t="shared" si="25"/>
        <v>0.101279897862499</v>
      </c>
      <c r="AG60" s="5">
        <f t="shared" si="26"/>
        <v>0.1073825384833</v>
      </c>
      <c r="AH60" s="2">
        <f t="shared" si="27"/>
        <v>28.047831274485301</v>
      </c>
      <c r="AI60" s="2">
        <f t="shared" si="28"/>
        <v>0.32376283356876501</v>
      </c>
      <c r="AJ60" s="2">
        <f t="shared" si="29"/>
        <v>0.21238854596259699</v>
      </c>
      <c r="AK60" s="2">
        <f t="shared" si="30"/>
        <v>0.12184750457277201</v>
      </c>
      <c r="AL60" s="2">
        <f t="shared" si="31"/>
        <v>0.12405612829757801</v>
      </c>
      <c r="AM60" s="2">
        <f t="shared" si="32"/>
        <v>2.8584202731391399</v>
      </c>
      <c r="AN60" s="2">
        <f t="shared" si="33"/>
        <v>0.122087075777</v>
      </c>
      <c r="AO60" s="2">
        <f t="shared" si="34"/>
        <v>0.36695127889281098</v>
      </c>
      <c r="AP60" s="2">
        <f t="shared" si="35"/>
        <v>2.15931449399667</v>
      </c>
      <c r="AQ60" s="2">
        <f t="shared" si="36"/>
        <v>0.119841208351</v>
      </c>
      <c r="AR60" s="2">
        <f t="shared" si="37"/>
        <v>0.357785822409737</v>
      </c>
      <c r="AS60" s="2">
        <f t="shared" si="38"/>
        <v>0.60303376069451098</v>
      </c>
      <c r="AT60" s="2">
        <f t="shared" si="39"/>
        <v>0.16912004959412399</v>
      </c>
      <c r="AU60" s="2">
        <f t="shared" si="40"/>
        <v>0.35755798242535602</v>
      </c>
      <c r="AV60" s="2">
        <f t="shared" si="41"/>
        <v>0.166175486075129</v>
      </c>
      <c r="AW60" s="2">
        <f t="shared" si="42"/>
        <v>0.474999378295901</v>
      </c>
      <c r="AX60" s="2">
        <f t="shared" si="43"/>
        <v>-4.6218579912999998E-2</v>
      </c>
      <c r="AY60" s="5">
        <f t="shared" si="44"/>
        <v>1.0116087195585299</v>
      </c>
      <c r="AZ60" s="2">
        <f t="shared" si="45"/>
        <v>9.9022582414981505E-2</v>
      </c>
      <c r="BA60" s="2">
        <f t="shared" si="46"/>
        <v>0.92157401318890197</v>
      </c>
      <c r="BB60" s="2">
        <f t="shared" si="47"/>
        <v>4.6238851879688903E-2</v>
      </c>
      <c r="BC60" s="2">
        <f t="shared" si="48"/>
        <v>0.72887513022776096</v>
      </c>
      <c r="BD60" s="2">
        <f t="shared" si="49"/>
        <v>6.5423945748868007E-2</v>
      </c>
      <c r="BE60" s="2">
        <f t="shared" si="50"/>
        <v>-8.0935700076840006E-2</v>
      </c>
      <c r="BF60" s="2">
        <f t="shared" si="51"/>
        <v>0.294243704639084</v>
      </c>
    </row>
    <row r="61" spans="1:58" s="2" customFormat="1" x14ac:dyDescent="0.15">
      <c r="A61" s="3">
        <v>179.5</v>
      </c>
      <c r="B61" s="4">
        <v>5.0764519804E-2</v>
      </c>
      <c r="C61" s="4">
        <v>9.2619940244799998E-2</v>
      </c>
      <c r="D61" s="4">
        <v>8.7307485507100005E-2</v>
      </c>
      <c r="E61" s="4">
        <v>0.21381388001099999</v>
      </c>
      <c r="F61" s="4">
        <v>0.29487769905099998</v>
      </c>
      <c r="G61" s="2">
        <f t="shared" si="0"/>
        <v>3.18373881770622</v>
      </c>
      <c r="H61" s="2">
        <f t="shared" si="1"/>
        <v>0.20225775880620001</v>
      </c>
      <c r="I61" s="2">
        <f t="shared" si="2"/>
        <v>0.52195868644196997</v>
      </c>
      <c r="J61" s="2">
        <f t="shared" si="3"/>
        <v>-0.44712705174485701</v>
      </c>
      <c r="K61" s="2">
        <f t="shared" si="4"/>
        <v>2.18373881770622</v>
      </c>
      <c r="L61" s="2">
        <f t="shared" si="5"/>
        <v>1.0676242058057099</v>
      </c>
      <c r="M61" s="2">
        <f t="shared" si="6"/>
        <v>0.341845008680842</v>
      </c>
      <c r="N61" s="2">
        <f t="shared" si="7"/>
        <v>0.318102029751263</v>
      </c>
      <c r="O61" s="2">
        <f t="shared" si="8"/>
        <v>0.428529702003761</v>
      </c>
      <c r="P61" s="2">
        <f t="shared" si="9"/>
        <v>0.32491567230464702</v>
      </c>
      <c r="Q61" s="2">
        <f t="shared" si="10"/>
        <v>0.54311423344131504</v>
      </c>
      <c r="R61" s="2">
        <f t="shared" si="11"/>
        <v>3.37746182172455</v>
      </c>
      <c r="S61" s="2">
        <f t="shared" si="12"/>
        <v>0.44409448020452502</v>
      </c>
      <c r="T61" s="2">
        <f t="shared" si="13"/>
        <v>-0.42318830156194298</v>
      </c>
      <c r="U61" s="2">
        <f t="shared" si="14"/>
        <v>0.35293646477617102</v>
      </c>
      <c r="V61" s="2">
        <f t="shared" si="15"/>
        <v>0.32937782863124099</v>
      </c>
      <c r="W61" s="2">
        <f t="shared" si="16"/>
        <v>0.20757021354390001</v>
      </c>
      <c r="X61" s="2">
        <f t="shared" si="17"/>
        <v>0.33575934449266698</v>
      </c>
      <c r="Y61" s="2">
        <f t="shared" si="18"/>
        <v>1.0213296399504499</v>
      </c>
      <c r="Z61" s="2">
        <f t="shared" si="19"/>
        <v>0.83778720795541295</v>
      </c>
      <c r="AA61" s="2">
        <f t="shared" si="20"/>
        <v>2.93329552581808</v>
      </c>
      <c r="AB61" s="2">
        <f t="shared" si="21"/>
        <v>0.19109259227905001</v>
      </c>
      <c r="AC61" s="2">
        <f t="shared" si="22"/>
        <v>1.37913263178157</v>
      </c>
      <c r="AD61" s="2">
        <f t="shared" si="23"/>
        <v>8.1063819039999999E-2</v>
      </c>
      <c r="AE61" s="2">
        <f t="shared" si="24"/>
        <v>0.15935750143432201</v>
      </c>
      <c r="AF61" s="2">
        <f t="shared" si="25"/>
        <v>0.11365794146885801</v>
      </c>
      <c r="AG61" s="5">
        <f t="shared" si="26"/>
        <v>0.120547976293283</v>
      </c>
      <c r="AH61" s="2">
        <f t="shared" si="27"/>
        <v>32.145477386826499</v>
      </c>
      <c r="AI61" s="2">
        <f t="shared" si="28"/>
        <v>0.37913263178157403</v>
      </c>
      <c r="AJ61" s="2">
        <f t="shared" si="29"/>
        <v>0.24579997744696899</v>
      </c>
      <c r="AK61" s="2">
        <f t="shared" si="30"/>
        <v>0.137834698075222</v>
      </c>
      <c r="AL61" s="2">
        <f t="shared" si="31"/>
        <v>0.14062391845625599</v>
      </c>
      <c r="AM61" s="2">
        <f t="shared" si="32"/>
        <v>3.37746182172455</v>
      </c>
      <c r="AN61" s="2">
        <f t="shared" si="33"/>
        <v>0.1265063945039</v>
      </c>
      <c r="AO61" s="2">
        <f t="shared" si="34"/>
        <v>0.42011763026591298</v>
      </c>
      <c r="AP61" s="2">
        <f t="shared" si="35"/>
        <v>2.4489753515305699</v>
      </c>
      <c r="AQ61" s="2">
        <f t="shared" si="36"/>
        <v>0.12119393976620001</v>
      </c>
      <c r="AR61" s="2">
        <f t="shared" si="37"/>
        <v>0.395497924037992</v>
      </c>
      <c r="AS61" s="2">
        <f t="shared" si="38"/>
        <v>0.64078831238448497</v>
      </c>
      <c r="AT61" s="2">
        <f t="shared" si="39"/>
        <v>0.15402987847559199</v>
      </c>
      <c r="AU61" s="2">
        <f t="shared" si="40"/>
        <v>0.35557921833509398</v>
      </c>
      <c r="AV61" s="2">
        <f t="shared" si="41"/>
        <v>0.14648929955992801</v>
      </c>
      <c r="AW61" s="2">
        <f t="shared" si="42"/>
        <v>0.49476201655482999</v>
      </c>
      <c r="AX61" s="2">
        <f t="shared" si="43"/>
        <v>-4.0130120726200001E-2</v>
      </c>
      <c r="AY61" s="5">
        <f t="shared" si="44"/>
        <v>1.0262657648787199</v>
      </c>
      <c r="AZ61" s="2">
        <f t="shared" si="45"/>
        <v>0.107619519835115</v>
      </c>
      <c r="BA61" s="2">
        <f t="shared" si="46"/>
        <v>0.82331829050510197</v>
      </c>
      <c r="BB61" s="2">
        <f t="shared" si="47"/>
        <v>5.6009703054772902E-2</v>
      </c>
      <c r="BC61" s="2">
        <f t="shared" si="48"/>
        <v>0.719335188992689</v>
      </c>
      <c r="BD61" s="2">
        <f t="shared" si="49"/>
        <v>7.1431344189442705E-2</v>
      </c>
      <c r="BE61" s="2">
        <f t="shared" si="50"/>
        <v>-7.2330646617671995E-2</v>
      </c>
      <c r="BF61" s="2">
        <f t="shared" si="51"/>
        <v>0.30530673322176499</v>
      </c>
    </row>
    <row r="62" spans="1:58" s="2" customFormat="1" x14ac:dyDescent="0.15">
      <c r="A62" s="3">
        <v>143.5</v>
      </c>
      <c r="B62" s="4">
        <v>7.9212478369900002E-2</v>
      </c>
      <c r="C62" s="4">
        <v>0.13457045812400001</v>
      </c>
      <c r="D62" s="4">
        <v>0.15421008130700001</v>
      </c>
      <c r="E62" s="4">
        <v>0.242290928362</v>
      </c>
      <c r="F62" s="4">
        <v>0.29568903821699999</v>
      </c>
      <c r="G62" s="2">
        <f t="shared" si="0"/>
        <v>2.19728046065309</v>
      </c>
      <c r="H62" s="2">
        <f t="shared" si="1"/>
        <v>0.16111858009300001</v>
      </c>
      <c r="I62" s="2">
        <f t="shared" si="2"/>
        <v>0.37446838817778499</v>
      </c>
      <c r="J62" s="2">
        <f t="shared" si="3"/>
        <v>-0.58268710568269799</v>
      </c>
      <c r="K62" s="2">
        <f t="shared" si="4"/>
        <v>1.19728046065309</v>
      </c>
      <c r="L62" s="2">
        <f t="shared" si="5"/>
        <v>0.66958471032238998</v>
      </c>
      <c r="M62" s="2">
        <f t="shared" si="6"/>
        <v>0.25979618707478302</v>
      </c>
      <c r="N62" s="2">
        <f t="shared" si="7"/>
        <v>0.238119414445498</v>
      </c>
      <c r="O62" s="2">
        <f t="shared" si="8"/>
        <v>0.316636249084431</v>
      </c>
      <c r="P62" s="2">
        <f t="shared" si="9"/>
        <v>0.24562942615435801</v>
      </c>
      <c r="Q62" s="2">
        <f t="shared" si="10"/>
        <v>0.31446817913243902</v>
      </c>
      <c r="R62" s="2">
        <f t="shared" si="11"/>
        <v>1.91744298239714</v>
      </c>
      <c r="S62" s="2">
        <f t="shared" si="12"/>
        <v>0.26908645177859097</v>
      </c>
      <c r="T62" s="2">
        <f t="shared" si="13"/>
        <v>-0.62589311807444203</v>
      </c>
      <c r="U62" s="2">
        <f t="shared" si="14"/>
        <v>0.223411550766932</v>
      </c>
      <c r="V62" s="2">
        <f t="shared" si="15"/>
        <v>0.20394320450230899</v>
      </c>
      <c r="W62" s="2">
        <f t="shared" si="16"/>
        <v>0.14147895691000001</v>
      </c>
      <c r="X62" s="2">
        <f t="shared" si="17"/>
        <v>0.21092802081526399</v>
      </c>
      <c r="Y62" s="2">
        <f t="shared" si="18"/>
        <v>0.90247890786014495</v>
      </c>
      <c r="Z62" s="2">
        <f t="shared" si="19"/>
        <v>0.38471765439642702</v>
      </c>
      <c r="AA62" s="2">
        <f t="shared" si="20"/>
        <v>2.60964929152729</v>
      </c>
      <c r="AB62" s="2">
        <f t="shared" si="21"/>
        <v>0.22494955976200001</v>
      </c>
      <c r="AC62" s="2">
        <f t="shared" si="22"/>
        <v>1.2203883992520701</v>
      </c>
      <c r="AD62" s="2">
        <f t="shared" si="23"/>
        <v>5.3398109855000001E-2</v>
      </c>
      <c r="AE62" s="2">
        <f t="shared" si="24"/>
        <v>9.9256688301159496E-2</v>
      </c>
      <c r="AF62" s="2">
        <f t="shared" si="25"/>
        <v>7.2801919931749101E-2</v>
      </c>
      <c r="AG62" s="5">
        <f t="shared" si="26"/>
        <v>7.7166387947241594E-2</v>
      </c>
      <c r="AH62" s="2">
        <f t="shared" si="27"/>
        <v>19.916916812204299</v>
      </c>
      <c r="AI62" s="2">
        <f t="shared" si="28"/>
        <v>0.22038839925207299</v>
      </c>
      <c r="AJ62" s="2">
        <f t="shared" si="29"/>
        <v>0.147902071147616</v>
      </c>
      <c r="AK62" s="2">
        <f t="shared" si="30"/>
        <v>8.43217591596854E-2</v>
      </c>
      <c r="AL62" s="2">
        <f t="shared" si="31"/>
        <v>8.8744391526585698E-2</v>
      </c>
      <c r="AM62" s="2">
        <f t="shared" si="32"/>
        <v>1.91744298239714</v>
      </c>
      <c r="AN62" s="2">
        <f t="shared" si="33"/>
        <v>8.8080847054999994E-2</v>
      </c>
      <c r="AO62" s="2">
        <f t="shared" si="34"/>
        <v>0.22214532852899899</v>
      </c>
      <c r="AP62" s="2">
        <f t="shared" si="35"/>
        <v>1.57117437659377</v>
      </c>
      <c r="AQ62" s="2">
        <f t="shared" si="36"/>
        <v>0.10772047023799999</v>
      </c>
      <c r="AR62" s="2">
        <f t="shared" si="37"/>
        <v>0.28583578498828699</v>
      </c>
      <c r="AS62" s="2">
        <f t="shared" si="38"/>
        <v>0.60623974042457596</v>
      </c>
      <c r="AT62" s="2">
        <f t="shared" si="39"/>
        <v>0.20008976751955301</v>
      </c>
      <c r="AU62" s="2">
        <f t="shared" si="40"/>
        <v>0.360256895933114</v>
      </c>
      <c r="AV62" s="2">
        <f t="shared" si="41"/>
        <v>0.22278575338950499</v>
      </c>
      <c r="AW62" s="2">
        <f t="shared" si="42"/>
        <v>0.42717897941476701</v>
      </c>
      <c r="AX62" s="2">
        <f t="shared" si="43"/>
        <v>-5.4322360383E-2</v>
      </c>
      <c r="AY62" s="5">
        <f t="shared" si="44"/>
        <v>0.87810454156396001</v>
      </c>
      <c r="AZ62" s="2">
        <f t="shared" si="45"/>
        <v>7.6714536746928297E-2</v>
      </c>
      <c r="BA62" s="2">
        <f t="shared" si="46"/>
        <v>1.1997476769311699</v>
      </c>
      <c r="BB62" s="2">
        <f t="shared" si="47"/>
        <v>2.5840984599137199E-2</v>
      </c>
      <c r="BC62" s="2">
        <f t="shared" si="48"/>
        <v>0.70330308525227203</v>
      </c>
      <c r="BD62" s="2">
        <f t="shared" si="49"/>
        <v>5.6598762914251199E-2</v>
      </c>
      <c r="BE62" s="2">
        <f t="shared" si="50"/>
        <v>-9.1150655380080006E-2</v>
      </c>
      <c r="BF62" s="2">
        <f t="shared" si="51"/>
        <v>0.26506025991714899</v>
      </c>
    </row>
    <row r="63" spans="1:58" s="2" customFormat="1" x14ac:dyDescent="0.15">
      <c r="A63" s="3">
        <v>120</v>
      </c>
      <c r="B63" s="4">
        <v>7.3668445631000001E-2</v>
      </c>
      <c r="C63" s="4">
        <v>0.12514511555499999</v>
      </c>
      <c r="D63" s="4">
        <v>0.14038535890699999</v>
      </c>
      <c r="E63" s="4">
        <v>0.232247468934</v>
      </c>
      <c r="F63" s="4">
        <v>0.288420728031</v>
      </c>
      <c r="G63" s="2">
        <f t="shared" si="0"/>
        <v>2.3046902530066502</v>
      </c>
      <c r="H63" s="2">
        <f t="shared" si="1"/>
        <v>0.163275612476</v>
      </c>
      <c r="I63" s="2">
        <f t="shared" si="2"/>
        <v>0.394799558542477</v>
      </c>
      <c r="J63" s="2">
        <f t="shared" si="3"/>
        <v>-0.56670706089314404</v>
      </c>
      <c r="K63" s="2">
        <f t="shared" si="4"/>
        <v>1.30469025300666</v>
      </c>
      <c r="L63" s="2">
        <f t="shared" si="5"/>
        <v>0.71769849931687901</v>
      </c>
      <c r="M63" s="2">
        <f t="shared" si="6"/>
        <v>0.268085130845793</v>
      </c>
      <c r="N63" s="2">
        <f t="shared" si="7"/>
        <v>0.24523013584725101</v>
      </c>
      <c r="O63" s="2">
        <f t="shared" si="8"/>
        <v>0.33021441668843299</v>
      </c>
      <c r="P63" s="2">
        <f t="shared" si="9"/>
        <v>0.25389198436791499</v>
      </c>
      <c r="Q63" s="2">
        <f t="shared" si="10"/>
        <v>0.34522683710272101</v>
      </c>
      <c r="R63" s="2">
        <f t="shared" si="11"/>
        <v>2.0544929348513299</v>
      </c>
      <c r="S63" s="2">
        <f t="shared" si="12"/>
        <v>0.29164275301033299</v>
      </c>
      <c r="T63" s="2">
        <f t="shared" si="13"/>
        <v>-0.60444218418559204</v>
      </c>
      <c r="U63" s="2">
        <f t="shared" si="14"/>
        <v>0.23907364175233101</v>
      </c>
      <c r="V63" s="2">
        <f t="shared" si="15"/>
        <v>0.217862662501354</v>
      </c>
      <c r="W63" s="2">
        <f t="shared" si="16"/>
        <v>0.148035369124</v>
      </c>
      <c r="X63" s="2">
        <f t="shared" si="17"/>
        <v>0.226065880357944</v>
      </c>
      <c r="Y63" s="2">
        <f t="shared" si="18"/>
        <v>0.91936219038130995</v>
      </c>
      <c r="Z63" s="2">
        <f t="shared" si="19"/>
        <v>0.43335024849173998</v>
      </c>
      <c r="AA63" s="2">
        <f t="shared" si="20"/>
        <v>2.6603309601490501</v>
      </c>
      <c r="AB63" s="2">
        <f t="shared" si="21"/>
        <v>0.21440304346899999</v>
      </c>
      <c r="AC63" s="2">
        <f t="shared" si="22"/>
        <v>1.2418681217704199</v>
      </c>
      <c r="AD63" s="2">
        <f t="shared" si="23"/>
        <v>5.6173259097000001E-2</v>
      </c>
      <c r="AE63" s="2">
        <f t="shared" si="24"/>
        <v>0.107886864272557</v>
      </c>
      <c r="AF63" s="2">
        <f t="shared" si="25"/>
        <v>7.7848293365655893E-2</v>
      </c>
      <c r="AG63" s="5">
        <f t="shared" si="26"/>
        <v>8.2553653475292296E-2</v>
      </c>
      <c r="AH63" s="2">
        <f t="shared" si="27"/>
        <v>21.661679572414101</v>
      </c>
      <c r="AI63" s="2">
        <f t="shared" si="28"/>
        <v>0.241868121770418</v>
      </c>
      <c r="AJ63" s="2">
        <f t="shared" si="29"/>
        <v>0.16153759074996599</v>
      </c>
      <c r="AK63" s="2">
        <f t="shared" si="30"/>
        <v>9.0718493160698396E-2</v>
      </c>
      <c r="AL63" s="2">
        <f t="shared" si="31"/>
        <v>9.57309021386092E-2</v>
      </c>
      <c r="AM63" s="2">
        <f t="shared" si="32"/>
        <v>2.0544929348513299</v>
      </c>
      <c r="AN63" s="2">
        <f t="shared" si="33"/>
        <v>9.1862110026999996E-2</v>
      </c>
      <c r="AO63" s="2">
        <f t="shared" si="34"/>
        <v>0.24652178542411499</v>
      </c>
      <c r="AP63" s="2">
        <f t="shared" si="35"/>
        <v>1.6543567701234101</v>
      </c>
      <c r="AQ63" s="2">
        <f t="shared" si="36"/>
        <v>0.107102353379</v>
      </c>
      <c r="AR63" s="2">
        <f t="shared" si="37"/>
        <v>0.29967704431286701</v>
      </c>
      <c r="AS63" s="2">
        <f t="shared" si="38"/>
        <v>0.61149541503553095</v>
      </c>
      <c r="AT63" s="2">
        <f t="shared" si="39"/>
        <v>0.19377908929544499</v>
      </c>
      <c r="AU63" s="2">
        <f t="shared" si="40"/>
        <v>0.359620132368838</v>
      </c>
      <c r="AV63" s="2">
        <f t="shared" si="41"/>
        <v>0.21236608994836501</v>
      </c>
      <c r="AW63" s="2">
        <f t="shared" si="42"/>
        <v>0.43630463140091902</v>
      </c>
      <c r="AX63" s="2">
        <f t="shared" si="43"/>
        <v>-5.0929094282000001E-2</v>
      </c>
      <c r="AY63" s="5">
        <f t="shared" si="44"/>
        <v>0.90665940172639004</v>
      </c>
      <c r="AZ63" s="2">
        <f t="shared" si="45"/>
        <v>8.0555133488382696E-2</v>
      </c>
      <c r="BA63" s="2">
        <f t="shared" si="46"/>
        <v>1.13346325850884</v>
      </c>
      <c r="BB63" s="2">
        <f t="shared" si="47"/>
        <v>2.9206424129217499E-2</v>
      </c>
      <c r="BC63" s="2">
        <f t="shared" si="48"/>
        <v>0.68847816318734301</v>
      </c>
      <c r="BD63" s="2">
        <f t="shared" si="49"/>
        <v>5.8215533805232603E-2</v>
      </c>
      <c r="BE63" s="2">
        <f t="shared" si="50"/>
        <v>-8.6190178171559995E-2</v>
      </c>
      <c r="BF63" s="2">
        <f t="shared" si="51"/>
        <v>0.27326997190892099</v>
      </c>
    </row>
    <row r="64" spans="1:58" s="2" customFormat="1" x14ac:dyDescent="0.15">
      <c r="A64" s="3">
        <v>156.5</v>
      </c>
      <c r="B64" s="4">
        <v>5.7022336022599998E-2</v>
      </c>
      <c r="C64" s="4">
        <v>0.10288587823799999</v>
      </c>
      <c r="D64" s="4">
        <v>0.10258355612099999</v>
      </c>
      <c r="E64" s="4">
        <v>0.22591177757399999</v>
      </c>
      <c r="F64" s="4">
        <v>0.304304887202</v>
      </c>
      <c r="G64" s="2">
        <f t="shared" si="0"/>
        <v>2.9576934406689799</v>
      </c>
      <c r="H64" s="2">
        <f t="shared" si="1"/>
        <v>0.201419008964</v>
      </c>
      <c r="I64" s="2">
        <f t="shared" si="2"/>
        <v>0.49465514952519102</v>
      </c>
      <c r="J64" s="2">
        <f t="shared" si="3"/>
        <v>-0.47609840984894403</v>
      </c>
      <c r="K64" s="2">
        <f t="shared" si="4"/>
        <v>1.9576934406689801</v>
      </c>
      <c r="L64" s="2">
        <f t="shared" si="5"/>
        <v>0.984064602360333</v>
      </c>
      <c r="M64" s="2">
        <f t="shared" si="6"/>
        <v>0.33303746571920101</v>
      </c>
      <c r="N64" s="2">
        <f t="shared" si="7"/>
        <v>0.31027216192054502</v>
      </c>
      <c r="O64" s="2">
        <f t="shared" si="8"/>
        <v>0.41193556848018897</v>
      </c>
      <c r="P64" s="2">
        <f t="shared" si="9"/>
        <v>0.31564687547369003</v>
      </c>
      <c r="Q64" s="2">
        <f t="shared" si="10"/>
        <v>0.495765693008065</v>
      </c>
      <c r="R64" s="2">
        <f t="shared" si="11"/>
        <v>2.9664100047678601</v>
      </c>
      <c r="S64" s="2">
        <f t="shared" si="12"/>
        <v>0.41277388313353602</v>
      </c>
      <c r="T64" s="2">
        <f t="shared" si="13"/>
        <v>-0.47495975510071398</v>
      </c>
      <c r="U64" s="2">
        <f t="shared" si="14"/>
        <v>0.33364853069776201</v>
      </c>
      <c r="V64" s="2">
        <f t="shared" si="15"/>
        <v>0.310884488946089</v>
      </c>
      <c r="W64" s="2">
        <f t="shared" si="16"/>
        <v>0.20172133108099999</v>
      </c>
      <c r="X64" s="2">
        <f t="shared" si="17"/>
        <v>0.31623806775573599</v>
      </c>
      <c r="Y64" s="2">
        <f t="shared" si="18"/>
        <v>0.99788060057707595</v>
      </c>
      <c r="Z64" s="2">
        <f t="shared" si="19"/>
        <v>0.72232691576479302</v>
      </c>
      <c r="AA64" s="2">
        <f t="shared" si="20"/>
        <v>2.8670272681745699</v>
      </c>
      <c r="AB64" s="2">
        <f t="shared" si="21"/>
        <v>0.2034442216615</v>
      </c>
      <c r="AC64" s="2">
        <f t="shared" si="22"/>
        <v>1.3470076260292401</v>
      </c>
      <c r="AD64" s="2">
        <f t="shared" si="23"/>
        <v>7.8393109628000002E-2</v>
      </c>
      <c r="AE64" s="2">
        <f t="shared" si="24"/>
        <v>0.147851085859624</v>
      </c>
      <c r="AF64" s="2">
        <f t="shared" si="25"/>
        <v>0.107659214108279</v>
      </c>
      <c r="AG64" s="5">
        <f t="shared" si="26"/>
        <v>0.114140712786438</v>
      </c>
      <c r="AH64" s="2">
        <f t="shared" si="27"/>
        <v>29.788555890384298</v>
      </c>
      <c r="AI64" s="2">
        <f t="shared" si="28"/>
        <v>0.34700762602924301</v>
      </c>
      <c r="AJ64" s="2">
        <f t="shared" si="29"/>
        <v>0.22650707342154699</v>
      </c>
      <c r="AK64" s="2">
        <f t="shared" si="30"/>
        <v>0.129662766471178</v>
      </c>
      <c r="AL64" s="2">
        <f t="shared" si="31"/>
        <v>0.13174994434246501</v>
      </c>
      <c r="AM64" s="2">
        <f t="shared" si="32"/>
        <v>2.9664100047678601</v>
      </c>
      <c r="AN64" s="2">
        <f t="shared" si="33"/>
        <v>0.123328221453</v>
      </c>
      <c r="AO64" s="2">
        <f t="shared" si="34"/>
        <v>0.37543370880119498</v>
      </c>
      <c r="AP64" s="2">
        <f t="shared" si="35"/>
        <v>2.2022221310746102</v>
      </c>
      <c r="AQ64" s="2">
        <f t="shared" si="36"/>
        <v>0.123025899336</v>
      </c>
      <c r="AR64" s="2">
        <f t="shared" si="37"/>
        <v>0.37416902815859399</v>
      </c>
      <c r="AS64" s="2">
        <f t="shared" si="38"/>
        <v>0.63564615385194201</v>
      </c>
      <c r="AT64" s="2">
        <f t="shared" si="39"/>
        <v>0.162510606493844</v>
      </c>
      <c r="AU64" s="2">
        <f t="shared" si="40"/>
        <v>0.35683283864017601</v>
      </c>
      <c r="AV64" s="2">
        <f t="shared" si="41"/>
        <v>0.16211049353868301</v>
      </c>
      <c r="AW64" s="2">
        <f t="shared" si="42"/>
        <v>0.48088618991100401</v>
      </c>
      <c r="AX64" s="2">
        <f t="shared" si="43"/>
        <v>-4.4632789707999998E-2</v>
      </c>
      <c r="AY64" s="5">
        <f t="shared" si="44"/>
        <v>1.0015009611980299</v>
      </c>
      <c r="AZ64" s="2">
        <f t="shared" si="45"/>
        <v>0.1037972077758</v>
      </c>
      <c r="BA64" s="2">
        <f t="shared" si="46"/>
        <v>0.87584936250947498</v>
      </c>
      <c r="BB64" s="2">
        <f t="shared" si="47"/>
        <v>5.1333528276710401E-2</v>
      </c>
      <c r="BC64" s="2">
        <f t="shared" si="48"/>
        <v>0.73953360445139205</v>
      </c>
      <c r="BD64" s="2">
        <f t="shared" si="49"/>
        <v>7.2147226104674E-2</v>
      </c>
      <c r="BE64" s="2">
        <f t="shared" si="50"/>
        <v>-7.903432509984E-2</v>
      </c>
      <c r="BF64" s="2">
        <f t="shared" si="51"/>
        <v>0.29889729441115398</v>
      </c>
    </row>
    <row r="65" spans="1:58" customFormat="1" x14ac:dyDescent="0.15">
      <c r="A65" s="6">
        <v>188.5</v>
      </c>
      <c r="B65">
        <v>0.100243884287</v>
      </c>
      <c r="C65">
        <v>0.13301156403100001</v>
      </c>
      <c r="D65" s="4">
        <v>7.9935860810200002E-2</v>
      </c>
      <c r="E65" s="4">
        <v>0.18353457802640399</v>
      </c>
      <c r="F65">
        <v>0.27353856493099998</v>
      </c>
      <c r="G65" s="1">
        <f t="shared" si="0"/>
        <v>2.0565021314030099</v>
      </c>
      <c r="H65" s="1">
        <f t="shared" si="1"/>
        <v>0.1405270009</v>
      </c>
      <c r="I65" s="1">
        <f t="shared" si="2"/>
        <v>0.34565725328581798</v>
      </c>
      <c r="J65" s="1">
        <f t="shared" si="3"/>
        <v>-0.60413191558559498</v>
      </c>
      <c r="K65" s="1">
        <f t="shared" si="4"/>
        <v>1.0565021314030101</v>
      </c>
      <c r="L65" s="1">
        <f t="shared" si="5"/>
        <v>0.60430755814517001</v>
      </c>
      <c r="M65" s="1">
        <f t="shared" si="6"/>
        <v>0.23251941025186901</v>
      </c>
      <c r="N65" s="1">
        <f t="shared" si="7"/>
        <v>0.21023765987624099</v>
      </c>
      <c r="O65" s="1">
        <f t="shared" si="8"/>
        <v>0.28772620940473498</v>
      </c>
      <c r="P65" s="1">
        <f t="shared" si="9"/>
        <v>0.220395501640999</v>
      </c>
      <c r="Q65" s="2">
        <f t="shared" si="10"/>
        <v>0.54771346955252798</v>
      </c>
      <c r="R65" s="1">
        <f t="shared" si="11"/>
        <v>3.4219755959154701</v>
      </c>
      <c r="S65" s="2">
        <f t="shared" si="12"/>
        <v>0.43737161097351301</v>
      </c>
      <c r="T65" s="1">
        <f t="shared" si="13"/>
        <v>-0.41779912097399202</v>
      </c>
      <c r="U65" s="1">
        <f t="shared" si="14"/>
        <v>0.34026099367769402</v>
      </c>
      <c r="V65" s="2">
        <f t="shared" si="15"/>
        <v>0.314020879532591</v>
      </c>
      <c r="W65" s="2">
        <f t="shared" si="16"/>
        <v>0.1936027041208</v>
      </c>
      <c r="X65" s="1">
        <f t="shared" si="17"/>
        <v>0.32563600659133901</v>
      </c>
      <c r="Y65" s="2">
        <f t="shared" si="18"/>
        <v>1.02357875591111</v>
      </c>
      <c r="Z65" s="1">
        <f t="shared" si="19"/>
        <v>0.84985826373683704</v>
      </c>
      <c r="AA65" s="1">
        <f t="shared" si="20"/>
        <v>2.9409103396943501</v>
      </c>
      <c r="AB65" s="1">
        <f t="shared" si="21"/>
        <v>0.17673721287060001</v>
      </c>
      <c r="AC65" s="2">
        <f t="shared" si="22"/>
        <v>1.4903925345972</v>
      </c>
      <c r="AD65" s="2">
        <f t="shared" si="23"/>
        <v>9.0003986904596003E-2</v>
      </c>
      <c r="AE65" s="1">
        <f t="shared" si="24"/>
        <v>0.19691375065759201</v>
      </c>
      <c r="AF65" s="2">
        <f t="shared" si="25"/>
        <v>0.13312784320164101</v>
      </c>
      <c r="AG65" s="5">
        <f t="shared" si="26"/>
        <v>0.14106129855417199</v>
      </c>
      <c r="AH65" s="1">
        <f t="shared" si="27"/>
        <v>39.903953129994299</v>
      </c>
      <c r="AI65" s="1">
        <f t="shared" si="28"/>
        <v>0.490392534597201</v>
      </c>
      <c r="AJ65" s="1">
        <f t="shared" si="29"/>
        <v>0.31074914848156499</v>
      </c>
      <c r="AK65" s="2">
        <f t="shared" si="30"/>
        <v>0.158183978670067</v>
      </c>
      <c r="AL65" s="2">
        <f t="shared" si="31"/>
        <v>0.16919327311663299</v>
      </c>
      <c r="AM65" s="1">
        <f t="shared" si="32"/>
        <v>3.4219755959154701</v>
      </c>
      <c r="AN65" s="1">
        <f t="shared" si="33"/>
        <v>0.10359871721620401</v>
      </c>
      <c r="AO65" s="1">
        <f t="shared" si="34"/>
        <v>0.39320812487981899</v>
      </c>
      <c r="AP65" s="1">
        <f t="shared" si="35"/>
        <v>2.2960230385482299</v>
      </c>
      <c r="AQ65" s="1">
        <f t="shared" si="36"/>
        <v>5.0523013995404001E-2</v>
      </c>
      <c r="AR65" s="1">
        <f t="shared" si="37"/>
        <v>0.159607107093543</v>
      </c>
      <c r="AS65" s="1">
        <f t="shared" si="38"/>
        <v>0.86877510960645699</v>
      </c>
      <c r="AT65" s="1">
        <f t="shared" si="39"/>
        <v>0.22541096635065599</v>
      </c>
      <c r="AU65" s="2">
        <f t="shared" si="40"/>
        <v>0.31103090090760599</v>
      </c>
      <c r="AV65" s="2">
        <f t="shared" si="41"/>
        <v>0.14885385580013999</v>
      </c>
      <c r="AW65" s="2">
        <f t="shared" si="42"/>
        <v>0.50937426190600099</v>
      </c>
      <c r="AX65" s="2">
        <f t="shared" si="43"/>
        <v>3.9480972909191898E-2</v>
      </c>
      <c r="AY65" s="7">
        <f t="shared" si="44"/>
        <v>1.37769042874948</v>
      </c>
      <c r="AZ65" s="2">
        <f t="shared" si="45"/>
        <v>0.16338702922363901</v>
      </c>
      <c r="BA65" s="1">
        <f t="shared" si="46"/>
        <v>1.86352832875472</v>
      </c>
      <c r="BB65" s="2">
        <f t="shared" si="47"/>
        <v>9.22531915564552E-2</v>
      </c>
      <c r="BC65" s="1">
        <f t="shared" si="48"/>
        <v>0.67485079924604896</v>
      </c>
      <c r="BD65" s="1">
        <f t="shared" si="49"/>
        <v>9.6885545774105297E-2</v>
      </c>
      <c r="BE65" s="2">
        <f t="shared" si="50"/>
        <v>5.07898393097879E-2</v>
      </c>
      <c r="BF65" s="1">
        <f t="shared" si="51"/>
        <v>0.56967920905963798</v>
      </c>
    </row>
    <row r="66" spans="1:58" customFormat="1" x14ac:dyDescent="0.15">
      <c r="A66" s="6">
        <v>201</v>
      </c>
      <c r="B66">
        <v>9.7980673299600002E-2</v>
      </c>
      <c r="C66">
        <v>0.122423460806</v>
      </c>
      <c r="D66" s="4">
        <v>7.9484883236999995E-2</v>
      </c>
      <c r="E66" s="4">
        <v>0.18307458090174</v>
      </c>
      <c r="F66">
        <v>0.259103355832</v>
      </c>
      <c r="G66" s="1">
        <f t="shared" si="0"/>
        <v>2.1164518150862599</v>
      </c>
      <c r="H66" s="1">
        <f t="shared" si="1"/>
        <v>0.136679895026</v>
      </c>
      <c r="I66" s="1">
        <f t="shared" si="2"/>
        <v>0.35824452978277699</v>
      </c>
      <c r="J66" s="1">
        <f t="shared" si="3"/>
        <v>-0.59492912341717497</v>
      </c>
      <c r="K66" s="1">
        <f t="shared" si="4"/>
        <v>1.1164518150862599</v>
      </c>
      <c r="L66" s="1">
        <f t="shared" si="5"/>
        <v>0.63242608700203395</v>
      </c>
      <c r="M66" s="1">
        <f t="shared" si="6"/>
        <v>0.23257357424577499</v>
      </c>
      <c r="N66" s="1">
        <f t="shared" si="7"/>
        <v>0.208759722468804</v>
      </c>
      <c r="O66" s="1">
        <f t="shared" si="8"/>
        <v>0.29278084364222101</v>
      </c>
      <c r="P66" s="1">
        <f t="shared" si="9"/>
        <v>0.22127996909876099</v>
      </c>
      <c r="Q66" s="2">
        <f t="shared" si="10"/>
        <v>0.53049235581510001</v>
      </c>
      <c r="R66" s="1">
        <f t="shared" si="11"/>
        <v>3.2597815493976601</v>
      </c>
      <c r="S66" s="2">
        <f t="shared" si="12"/>
        <v>0.41789479150021702</v>
      </c>
      <c r="T66" s="1">
        <f t="shared" si="13"/>
        <v>-0.43763490962150198</v>
      </c>
      <c r="U66" s="1">
        <f t="shared" si="14"/>
        <v>0.32128724961802302</v>
      </c>
      <c r="V66" s="2">
        <f t="shared" si="15"/>
        <v>0.29326973784656102</v>
      </c>
      <c r="W66" s="2">
        <f t="shared" si="16"/>
        <v>0.17961847259499999</v>
      </c>
      <c r="X66" s="1">
        <f t="shared" si="17"/>
        <v>0.308684671914288</v>
      </c>
      <c r="Y66" s="2">
        <f t="shared" si="18"/>
        <v>1.01513169382849</v>
      </c>
      <c r="Z66" s="1">
        <f t="shared" si="19"/>
        <v>0.805486513214004</v>
      </c>
      <c r="AA66" s="1">
        <f t="shared" si="20"/>
        <v>2.9223593440387901</v>
      </c>
      <c r="AB66" s="1">
        <f t="shared" si="21"/>
        <v>0.16929411953449999</v>
      </c>
      <c r="AC66" s="2">
        <f t="shared" si="22"/>
        <v>1.41528853735881</v>
      </c>
      <c r="AD66" s="2">
        <f t="shared" si="23"/>
        <v>7.6028774930260001E-2</v>
      </c>
      <c r="AE66" s="1">
        <f t="shared" si="24"/>
        <v>0.171941584177324</v>
      </c>
      <c r="AF66" s="2">
        <f t="shared" si="25"/>
        <v>0.11433506900584001</v>
      </c>
      <c r="AG66" s="5">
        <f t="shared" si="26"/>
        <v>0.12104206429493</v>
      </c>
      <c r="AH66" s="1">
        <f t="shared" si="27"/>
        <v>34.733342363548203</v>
      </c>
      <c r="AI66" s="1">
        <f t="shared" si="28"/>
        <v>0.415288537358806</v>
      </c>
      <c r="AJ66" s="1">
        <f t="shared" si="29"/>
        <v>0.26721783062542298</v>
      </c>
      <c r="AK66" s="2">
        <f t="shared" si="30"/>
        <v>0.13599423063934299</v>
      </c>
      <c r="AL66" s="2">
        <f t="shared" si="31"/>
        <v>0.14645734016338999</v>
      </c>
      <c r="AM66" s="1">
        <f t="shared" si="32"/>
        <v>3.2597815493976601</v>
      </c>
      <c r="AN66" s="1">
        <f t="shared" si="33"/>
        <v>0.10358969766473999</v>
      </c>
      <c r="AO66" s="1">
        <f t="shared" si="34"/>
        <v>0.39453804495122602</v>
      </c>
      <c r="AP66" s="1">
        <f t="shared" si="35"/>
        <v>2.3032628777457802</v>
      </c>
      <c r="AQ66" s="1">
        <f t="shared" si="36"/>
        <v>6.0651120095740002E-2</v>
      </c>
      <c r="AR66" s="1">
        <f t="shared" si="37"/>
        <v>0.198531943958459</v>
      </c>
      <c r="AS66" s="1">
        <f t="shared" si="38"/>
        <v>0.73394146951100403</v>
      </c>
      <c r="AT66" s="1">
        <f t="shared" si="39"/>
        <v>0.21683166449722299</v>
      </c>
      <c r="AU66" s="2">
        <f t="shared" si="40"/>
        <v>0.32425456560945598</v>
      </c>
      <c r="AV66" s="2">
        <f t="shared" si="41"/>
        <v>0.152368311856034</v>
      </c>
      <c r="AW66" s="2">
        <f t="shared" si="42"/>
        <v>0.49668741170116898</v>
      </c>
      <c r="AX66" s="2">
        <f t="shared" si="43"/>
        <v>1.53776548345199E-2</v>
      </c>
      <c r="AY66" s="7">
        <f t="shared" si="44"/>
        <v>1.3141543060216101</v>
      </c>
      <c r="AZ66" s="2">
        <f t="shared" si="45"/>
        <v>0.132051725565281</v>
      </c>
      <c r="BA66" s="1">
        <f t="shared" si="46"/>
        <v>1.6260783756892001</v>
      </c>
      <c r="BB66" s="2">
        <f t="shared" si="47"/>
        <v>6.8914355924688905E-2</v>
      </c>
      <c r="BC66" s="1">
        <f t="shared" si="48"/>
        <v>0.63308899246827499</v>
      </c>
      <c r="BD66" s="1">
        <f t="shared" si="49"/>
        <v>7.5559145573819694E-2</v>
      </c>
      <c r="BE66" s="2">
        <f t="shared" si="50"/>
        <v>1.4865688550219899E-2</v>
      </c>
      <c r="BF66" s="1">
        <f t="shared" si="51"/>
        <v>0.47995592363010198</v>
      </c>
    </row>
    <row r="67" spans="1:58" customFormat="1" x14ac:dyDescent="0.15">
      <c r="A67" s="6">
        <v>199.5</v>
      </c>
      <c r="B67">
        <v>0.157530983682</v>
      </c>
      <c r="C67">
        <v>0.19013126968300001</v>
      </c>
      <c r="D67" s="4">
        <v>0.14713125163499999</v>
      </c>
      <c r="E67" s="4">
        <v>0.25207387666769998</v>
      </c>
      <c r="F67">
        <v>0.249894406239</v>
      </c>
      <c r="G67" s="1">
        <f t="shared" ref="G67:G130" si="52">F67/C67</f>
        <v>1.3143256585602201</v>
      </c>
      <c r="H67" s="1">
        <f t="shared" ref="H67:H130" si="53">F67-C67</f>
        <v>5.9763136555999997E-2</v>
      </c>
      <c r="I67" s="1">
        <f t="shared" ref="I67:I130" si="54">(F67-C67)/(F67+C67)</f>
        <v>0.135817384816866</v>
      </c>
      <c r="J67" s="1">
        <f t="shared" ref="J67:J130" si="55">(0.12*F67-C67)/(0.12*F67+C67)</f>
        <v>-0.72753480203548204</v>
      </c>
      <c r="K67" s="1">
        <f t="shared" ref="K67:K130" si="56">F67/C67-1</f>
        <v>0.31432565856022099</v>
      </c>
      <c r="L67" s="1">
        <f t="shared" ref="L67:L130" si="57">(F67/C67-1)/POWER(F67/C67+1,0.5)</f>
        <v>0.20661773623406199</v>
      </c>
      <c r="M67" s="1">
        <f t="shared" ref="M67:M130" si="58">1.5*(F67-C67)/(F67+C67+0.5)</f>
        <v>9.5364102417813498E-2</v>
      </c>
      <c r="N67" s="1">
        <f t="shared" ref="N67:N130" si="59">0.5*(2*F67+1-POWER(POWER(2*F67+1,2)-8*(F67-C67),0.5))</f>
        <v>8.4450684053162306E-2</v>
      </c>
      <c r="O67" s="1">
        <f t="shared" ref="O67:O130" si="60">1.16*(F67-C67)/(F67+C67+0.16)</f>
        <v>0.11553711980480599</v>
      </c>
      <c r="P67" s="1">
        <f t="shared" ref="P67:P130" si="61">(F67-C67)/POWER(F67+C67,0.5)</f>
        <v>9.0093689654099404E-2</v>
      </c>
      <c r="Q67" s="2">
        <f t="shared" ref="Q67:Q130" si="62">(F67-D67)/(F67+D67)</f>
        <v>0.258832527737069</v>
      </c>
      <c r="R67" s="1">
        <f t="shared" ref="R67:R130" si="63">F67/D67</f>
        <v>1.6984454591532501</v>
      </c>
      <c r="S67" s="2">
        <f t="shared" ref="S67:S130" si="64">1.16*(F67-D67)/(F67+D67+0.16)</f>
        <v>0.214003174998457</v>
      </c>
      <c r="T67" s="1">
        <f t="shared" ref="T67:T130" si="65">(0.12*F67-D67)/(0.12*F67+D67)</f>
        <v>-0.66138697946064695</v>
      </c>
      <c r="U67" s="1">
        <f t="shared" ref="U67:U130" si="66">1.5*(F67-D67)/(F67+D67+0.5)</f>
        <v>0.17183982481764401</v>
      </c>
      <c r="V67" s="2">
        <f t="shared" ref="V67:V130" si="67">(2*F67+1-POWER(POWER(2*F67+1,2)-8*(F67-D67),0.5))/2</f>
        <v>0.15255420894725399</v>
      </c>
      <c r="W67" s="2">
        <f t="shared" ref="W67:W130" si="68">F67-D67</f>
        <v>0.102763154604</v>
      </c>
      <c r="X67" s="1">
        <f t="shared" ref="X67:X130" si="69">(F67-D67)/POWER(F67+D67,0.5)</f>
        <v>0.16309030340393799</v>
      </c>
      <c r="Y67" s="2">
        <f t="shared" ref="Y67:Y130" si="70">POWER((F67-D67)/(F67+D67)+0.5,0.5)</f>
        <v>0.87110994009772902</v>
      </c>
      <c r="Z67" s="1">
        <f t="shared" ref="Z67:Z130" si="71">(F67/D67-1)/(POWER(F67/D67,0.5)+1)</f>
        <v>0.30324420549383202</v>
      </c>
      <c r="AA67" s="1">
        <f t="shared" ref="AA67:AA130" si="72">((1+0.45)*(POWER(F67,2)+1)/(D67+0.45))</f>
        <v>2.5799159840866999</v>
      </c>
      <c r="AB67" s="1">
        <f t="shared" ref="AB67:AB130" si="73">(D67+F67)/2</f>
        <v>0.19851282893700001</v>
      </c>
      <c r="AC67" s="2">
        <f t="shared" ref="AC67:AC130" si="74">F67/E67</f>
        <v>0.99135384254206904</v>
      </c>
      <c r="AD67" s="2">
        <f t="shared" ref="AD67:AD130" si="75">F67-E67</f>
        <v>-2.1794704286999798E-3</v>
      </c>
      <c r="AE67" s="1">
        <f t="shared" ref="AE67:AE130" si="76">(F67-E67)/(F67+E67)</f>
        <v>-4.3418488835181603E-3</v>
      </c>
      <c r="AF67" s="2">
        <f t="shared" ref="AF67:AF130" si="77">(F67-E67)/POWER(F67+E67,0.5)</f>
        <v>-3.0761877783243101E-3</v>
      </c>
      <c r="AG67" s="5">
        <f t="shared" ref="AG67:AG130" si="78">1.5*(F67-E67)/(F67+E67+0.5)</f>
        <v>-3.2627835619367502E-3</v>
      </c>
      <c r="AH67" s="1">
        <f t="shared" ref="AH67:AH130" si="79">100*(LN(F67)-LN(E67))</f>
        <v>-0.86837523350022905</v>
      </c>
      <c r="AI67" s="1">
        <f t="shared" ref="AI67:AI130" si="80">F67/E67-1</f>
        <v>-8.6461574579308493E-3</v>
      </c>
      <c r="AJ67" s="1">
        <f t="shared" ref="AJ67:AJ130" si="81">(F67/E67-1)/POWER(F67/E67+1,0.5)</f>
        <v>-6.1270146976679504E-3</v>
      </c>
      <c r="AK67" s="2">
        <f t="shared" ref="AK67:AK130" si="82">1.5*(F67-E67)/(F67+D67+0.5)</f>
        <v>-3.6444951316088E-3</v>
      </c>
      <c r="AL67" s="2">
        <f t="shared" ref="AL67:AL130" si="83">1.16*(F67-E67)/(F67+E67+0.16)</f>
        <v>-3.8191946088273702E-3</v>
      </c>
      <c r="AM67" s="1">
        <f t="shared" ref="AM67:AM130" si="84">F67/D67</f>
        <v>1.6984454591532501</v>
      </c>
      <c r="AN67" s="1">
        <f t="shared" ref="AN67:AN130" si="85">E67-D67</f>
        <v>0.10494262503269999</v>
      </c>
      <c r="AO67" s="1">
        <f t="shared" ref="AO67:AO130" si="86">(E67-D67)/(E67+D67)</f>
        <v>0.26287895017502499</v>
      </c>
      <c r="AP67" s="1">
        <f t="shared" ref="AP67:AP130" si="87">E67/D67</f>
        <v>1.71325856245034</v>
      </c>
      <c r="AQ67" s="1">
        <f t="shared" ref="AQ67:AQ130" si="88">E67-C67</f>
        <v>6.1942606984699999E-2</v>
      </c>
      <c r="AR67" s="1">
        <f t="shared" ref="AR67:AR130" si="89">(E67-C67)/(E67+C67)</f>
        <v>0.14007663071287499</v>
      </c>
      <c r="AS67" s="1">
        <f t="shared" ref="AS67:AS130" si="90">(F67-E67)/(E67-D67)</f>
        <v>-2.07682095623286E-2</v>
      </c>
      <c r="AT67" s="1">
        <f t="shared" ref="AT67:AT130" si="91">C67/(F67+E67+C67)</f>
        <v>0.27471664874159502</v>
      </c>
      <c r="AU67" s="2">
        <f t="shared" ref="AU67:AU130" si="92">E67/(F67+E67+C67)</f>
        <v>0.36421621098364998</v>
      </c>
      <c r="AV67" s="2">
        <f t="shared" ref="AV67:AV130" si="93">D67/(F67+E67+D67)</f>
        <v>0.22666978453294201</v>
      </c>
      <c r="AW67" s="2">
        <f t="shared" ref="AW67:AW130" si="94">F67/(F67+E67+D67)</f>
        <v>0.38498626626722099</v>
      </c>
      <c r="AX67" s="2">
        <f t="shared" ref="AX67:AX130" si="95">F67-2*E67+C67</f>
        <v>-6.4122077413399994E-2</v>
      </c>
      <c r="AY67" s="7">
        <f t="shared" ref="AY67:AY130" si="96">(F67-D67)/(F67-C67)</f>
        <v>1.71950738408296</v>
      </c>
      <c r="AZ67" s="2">
        <f t="shared" ref="AZ67:AZ130" si="97">2.5*(F67-E67)/(F67+6*E67-7.5*C67+1)</f>
        <v>-4.0772726114739503E-3</v>
      </c>
      <c r="BA67" s="1">
        <f t="shared" ref="BA67:BA130" si="98">(F67-(E67-2*C67))/(F67+(E67-2*C67))</f>
        <v>3.1065343174282001</v>
      </c>
      <c r="BB67" s="2">
        <f t="shared" ref="BB67:BB130" si="99">(F67-E67-0.2*(F67-C67))*F67/E67</f>
        <v>-1.40099093976299E-2</v>
      </c>
      <c r="BC67" s="1">
        <f t="shared" ref="BC67:BC130" si="100">1.5*(2.5*F67-E67)-1.3*(F67-E67)/POWER(POWER((2*F67+1),2)-(6*F67-5*POWER(E67,0.5))-0.5,0.5)</f>
        <v>0.56069855402792901</v>
      </c>
      <c r="BD67" s="1">
        <f t="shared" ref="BD67:BD130" si="101">3*(F67-E67-0.2*(F67-D67)*F67/E67)</f>
        <v>-6.7663200199151993E-2</v>
      </c>
      <c r="BE67" s="2">
        <f t="shared" ref="BE67:BE130" si="102">1.2*(1.2*(F67-C67)-2.5*(E67-C67))</f>
        <v>-9.976890431346E-2</v>
      </c>
      <c r="BF67" s="1">
        <f t="shared" ref="BF67:BF130" si="103">(F67-E67)/(F67+E67)/((F67-C67)/(F67+C67))</f>
        <v>-3.1968285130601098E-2</v>
      </c>
    </row>
    <row r="68" spans="1:58" customFormat="1" x14ac:dyDescent="0.15">
      <c r="A68" s="6">
        <v>177.5</v>
      </c>
      <c r="B68">
        <v>0.11909674998600001</v>
      </c>
      <c r="C68">
        <v>0.17035529452500001</v>
      </c>
      <c r="D68" s="4">
        <v>0.114365326244</v>
      </c>
      <c r="E68" s="4">
        <v>0.21865263276888</v>
      </c>
      <c r="F68">
        <v>0.25741481621599999</v>
      </c>
      <c r="G68" s="1">
        <f t="shared" si="52"/>
        <v>1.5110467622021799</v>
      </c>
      <c r="H68" s="1">
        <f t="shared" si="53"/>
        <v>8.7059521690999994E-2</v>
      </c>
      <c r="I68" s="1">
        <f t="shared" si="54"/>
        <v>0.20351941265880399</v>
      </c>
      <c r="J68" s="1">
        <f t="shared" si="55"/>
        <v>-0.69301332383794301</v>
      </c>
      <c r="K68" s="1">
        <f t="shared" si="56"/>
        <v>0.51104676220218004</v>
      </c>
      <c r="L68" s="1">
        <f t="shared" si="57"/>
        <v>0.32250261531431201</v>
      </c>
      <c r="M68" s="1">
        <f t="shared" si="58"/>
        <v>0.140756078499015</v>
      </c>
      <c r="N68" s="1">
        <f t="shared" si="59"/>
        <v>0.12530868553736399</v>
      </c>
      <c r="O68" s="1">
        <f t="shared" si="60"/>
        <v>0.17181725187461999</v>
      </c>
      <c r="P68" s="1">
        <f t="shared" si="61"/>
        <v>0.13311011502101799</v>
      </c>
      <c r="Q68" s="2">
        <f t="shared" si="62"/>
        <v>0.38476904394481098</v>
      </c>
      <c r="R68" s="1">
        <f t="shared" si="63"/>
        <v>2.2508117160161101</v>
      </c>
      <c r="S68" s="2">
        <f t="shared" si="64"/>
        <v>0.31204137785194103</v>
      </c>
      <c r="T68" s="1">
        <f t="shared" si="65"/>
        <v>-0.57468237528463295</v>
      </c>
      <c r="U68" s="1">
        <f t="shared" si="66"/>
        <v>0.24613342803669699</v>
      </c>
      <c r="V68" s="2">
        <f t="shared" si="67"/>
        <v>0.221151612295092</v>
      </c>
      <c r="W68" s="2">
        <f t="shared" si="68"/>
        <v>0.14304948997200001</v>
      </c>
      <c r="X68" s="1">
        <f t="shared" si="69"/>
        <v>0.23460821702003401</v>
      </c>
      <c r="Y68" s="2">
        <f t="shared" si="70"/>
        <v>0.940621626343351</v>
      </c>
      <c r="Z68" s="1">
        <f t="shared" si="71"/>
        <v>0.50027054760670098</v>
      </c>
      <c r="AA68" s="1">
        <f t="shared" si="72"/>
        <v>2.7395029250299099</v>
      </c>
      <c r="AB68" s="1">
        <f t="shared" si="73"/>
        <v>0.18589007123000001</v>
      </c>
      <c r="AC68" s="2">
        <f t="shared" si="74"/>
        <v>1.17727746040036</v>
      </c>
      <c r="AD68" s="2">
        <f t="shared" si="75"/>
        <v>3.8762183447119999E-2</v>
      </c>
      <c r="AE68" s="1">
        <f t="shared" si="76"/>
        <v>8.1421621095440794E-2</v>
      </c>
      <c r="AF68" s="2">
        <f t="shared" si="77"/>
        <v>5.6178997974895999E-2</v>
      </c>
      <c r="AG68" s="5">
        <f t="shared" si="78"/>
        <v>5.95689111763225E-2</v>
      </c>
      <c r="AH68" s="1">
        <f t="shared" si="79"/>
        <v>16.320453575639</v>
      </c>
      <c r="AI68" s="1">
        <f t="shared" si="80"/>
        <v>0.17727746040036199</v>
      </c>
      <c r="AJ68" s="1">
        <f t="shared" si="81"/>
        <v>0.120142491273821</v>
      </c>
      <c r="AK68" s="2">
        <f t="shared" si="82"/>
        <v>6.66948836510666E-2</v>
      </c>
      <c r="AL68" s="2">
        <f t="shared" si="83"/>
        <v>7.0690825116768399E-2</v>
      </c>
      <c r="AM68" s="1">
        <f t="shared" si="84"/>
        <v>2.2508117160161101</v>
      </c>
      <c r="AN68" s="1">
        <f t="shared" si="85"/>
        <v>0.10428730652488</v>
      </c>
      <c r="AO68" s="1">
        <f t="shared" si="86"/>
        <v>0.31315820574363201</v>
      </c>
      <c r="AP68" s="1">
        <f t="shared" si="87"/>
        <v>1.91187871315456</v>
      </c>
      <c r="AQ68" s="1">
        <f t="shared" si="88"/>
        <v>4.8297338243880002E-2</v>
      </c>
      <c r="AR68" s="1">
        <f t="shared" si="89"/>
        <v>0.1241551517468</v>
      </c>
      <c r="AS68" s="1">
        <f t="shared" si="90"/>
        <v>0.37168649511407598</v>
      </c>
      <c r="AT68" s="1">
        <f t="shared" si="91"/>
        <v>0.26353542822460502</v>
      </c>
      <c r="AU68" s="2">
        <f t="shared" si="92"/>
        <v>0.33825021623104201</v>
      </c>
      <c r="AV68" s="2">
        <f t="shared" si="93"/>
        <v>0.193697455564974</v>
      </c>
      <c r="AW68" s="2">
        <f t="shared" si="94"/>
        <v>0.43597650234815299</v>
      </c>
      <c r="AX68" s="2">
        <f t="shared" si="95"/>
        <v>-9.5351547967600092E-3</v>
      </c>
      <c r="AY68" s="7">
        <f t="shared" si="96"/>
        <v>1.64312285656387</v>
      </c>
      <c r="AZ68" s="2">
        <f t="shared" si="97"/>
        <v>7.5023625169499703E-2</v>
      </c>
      <c r="BA68" s="1">
        <f t="shared" si="98"/>
        <v>2.8034986381900699</v>
      </c>
      <c r="BB68" s="2">
        <f t="shared" si="99"/>
        <v>2.5135202368188201E-2</v>
      </c>
      <c r="BC68" s="1">
        <f t="shared" si="100"/>
        <v>0.60600459553499397</v>
      </c>
      <c r="BD68" s="1">
        <f t="shared" si="101"/>
        <v>1.5241186181878001E-2</v>
      </c>
      <c r="BE68" s="2">
        <f t="shared" si="102"/>
        <v>-1.9526303496599999E-2</v>
      </c>
      <c r="BF68" s="1">
        <f t="shared" si="103"/>
        <v>0.40006808211432099</v>
      </c>
    </row>
    <row r="69" spans="1:58" customFormat="1" x14ac:dyDescent="0.15">
      <c r="A69" s="6">
        <v>190</v>
      </c>
      <c r="B69">
        <v>0.10603146305199999</v>
      </c>
      <c r="C69">
        <v>0.15202042238399999</v>
      </c>
      <c r="D69" s="4">
        <v>9.4271982723100001E-2</v>
      </c>
      <c r="E69" s="4">
        <v>0.19815742237756201</v>
      </c>
      <c r="F69">
        <v>0.26833087140799999</v>
      </c>
      <c r="G69" s="1">
        <f t="shared" si="52"/>
        <v>1.76509752571403</v>
      </c>
      <c r="H69" s="1">
        <f t="shared" si="53"/>
        <v>0.11631044902400001</v>
      </c>
      <c r="I69" s="1">
        <f t="shared" si="54"/>
        <v>0.276698206337752</v>
      </c>
      <c r="J69" s="1">
        <f t="shared" si="55"/>
        <v>-0.65042142678381598</v>
      </c>
      <c r="K69" s="1">
        <f t="shared" si="56"/>
        <v>0.765097525714029</v>
      </c>
      <c r="L69" s="1">
        <f t="shared" si="57"/>
        <v>0.46010989235021299</v>
      </c>
      <c r="M69" s="1">
        <f t="shared" si="58"/>
        <v>0.189564218264064</v>
      </c>
      <c r="N69" s="1">
        <f t="shared" si="59"/>
        <v>0.17024105381320401</v>
      </c>
      <c r="O69" s="1">
        <f t="shared" si="60"/>
        <v>0.232480089750943</v>
      </c>
      <c r="P69" s="1">
        <f t="shared" si="61"/>
        <v>0.179395910274675</v>
      </c>
      <c r="Q69" s="2">
        <f t="shared" si="62"/>
        <v>0.48002625103984597</v>
      </c>
      <c r="R69" s="1">
        <f t="shared" si="63"/>
        <v>2.8463480204521998</v>
      </c>
      <c r="S69" s="2">
        <f t="shared" si="64"/>
        <v>0.38635133596846599</v>
      </c>
      <c r="T69" s="1">
        <f t="shared" si="65"/>
        <v>-0.49079979466706303</v>
      </c>
      <c r="U69" s="1">
        <f t="shared" si="66"/>
        <v>0.30267501640757299</v>
      </c>
      <c r="V69" s="2">
        <f t="shared" si="67"/>
        <v>0.27617789662396303</v>
      </c>
      <c r="W69" s="2">
        <f t="shared" si="68"/>
        <v>0.17405888868489999</v>
      </c>
      <c r="X69" s="1">
        <f t="shared" si="69"/>
        <v>0.28905507398344399</v>
      </c>
      <c r="Y69" s="2">
        <f t="shared" si="70"/>
        <v>0.98996275234972597</v>
      </c>
      <c r="Z69" s="1">
        <f t="shared" si="71"/>
        <v>0.68711233190093302</v>
      </c>
      <c r="AA69" s="1">
        <f t="shared" si="72"/>
        <v>2.8559289497529501</v>
      </c>
      <c r="AB69" s="1">
        <f t="shared" si="73"/>
        <v>0.18130142706555</v>
      </c>
      <c r="AC69" s="2">
        <f t="shared" si="74"/>
        <v>1.3541298034081799</v>
      </c>
      <c r="AD69" s="2">
        <f t="shared" si="75"/>
        <v>7.0173449030437998E-2</v>
      </c>
      <c r="AE69" s="1">
        <f t="shared" si="76"/>
        <v>0.150429174676558</v>
      </c>
      <c r="AF69" s="2">
        <f t="shared" si="77"/>
        <v>0.102743048533009</v>
      </c>
      <c r="AG69" s="5">
        <f t="shared" si="78"/>
        <v>0.10890993116261299</v>
      </c>
      <c r="AH69" s="1">
        <f t="shared" si="79"/>
        <v>30.315903651864499</v>
      </c>
      <c r="AI69" s="1">
        <f t="shared" si="80"/>
        <v>0.35412980340818101</v>
      </c>
      <c r="AJ69" s="1">
        <f t="shared" si="81"/>
        <v>0.23080609622595399</v>
      </c>
      <c r="AK69" s="2">
        <f t="shared" si="82"/>
        <v>0.12202622915233199</v>
      </c>
      <c r="AL69" s="2">
        <f t="shared" si="83"/>
        <v>0.12993251698837099</v>
      </c>
      <c r="AM69" s="1">
        <f t="shared" si="84"/>
        <v>2.8463480204521998</v>
      </c>
      <c r="AN69" s="1">
        <f t="shared" si="85"/>
        <v>0.10388543965446199</v>
      </c>
      <c r="AO69" s="1">
        <f t="shared" si="86"/>
        <v>0.35524963578372698</v>
      </c>
      <c r="AP69" s="1">
        <f t="shared" si="87"/>
        <v>2.1019757583713798</v>
      </c>
      <c r="AQ69" s="1">
        <f t="shared" si="88"/>
        <v>4.6136999993562001E-2</v>
      </c>
      <c r="AR69" s="1">
        <f t="shared" si="89"/>
        <v>0.131753052580973</v>
      </c>
      <c r="AS69" s="1">
        <f t="shared" si="90"/>
        <v>0.67548878133302404</v>
      </c>
      <c r="AT69" s="1">
        <f t="shared" si="91"/>
        <v>0.245785416453734</v>
      </c>
      <c r="AU69" s="2">
        <f t="shared" si="92"/>
        <v>0.32037935310718901</v>
      </c>
      <c r="AV69" s="2">
        <f t="shared" si="93"/>
        <v>0.168114587770098</v>
      </c>
      <c r="AW69" s="2">
        <f t="shared" si="94"/>
        <v>0.47851262410855699</v>
      </c>
      <c r="AX69" s="2">
        <f t="shared" si="95"/>
        <v>2.4036449036876E-2</v>
      </c>
      <c r="AY69" s="7">
        <f t="shared" si="96"/>
        <v>1.4965025940961201</v>
      </c>
      <c r="AZ69" s="2">
        <f t="shared" si="97"/>
        <v>0.13319464021046801</v>
      </c>
      <c r="BA69" s="1">
        <f t="shared" si="98"/>
        <v>2.3036021560300499</v>
      </c>
      <c r="BB69" s="2">
        <f t="shared" si="99"/>
        <v>6.3524069645823703E-2</v>
      </c>
      <c r="BC69" s="1">
        <f t="shared" si="100"/>
        <v>0.65104235353673701</v>
      </c>
      <c r="BD69" s="1">
        <f t="shared" si="101"/>
        <v>6.9101349861515907E-2</v>
      </c>
      <c r="BE69" s="2">
        <f t="shared" si="102"/>
        <v>2.9076046613873901E-2</v>
      </c>
      <c r="BF69" s="1">
        <f t="shared" si="103"/>
        <v>0.543657932111553</v>
      </c>
    </row>
    <row r="70" spans="1:58" customFormat="1" x14ac:dyDescent="0.15">
      <c r="A70" s="6">
        <v>191</v>
      </c>
      <c r="B70">
        <v>9.6999686394199994E-2</v>
      </c>
      <c r="C70">
        <v>0.13820358401800001</v>
      </c>
      <c r="D70" s="4">
        <v>8.3624313923800001E-2</v>
      </c>
      <c r="E70" s="4">
        <v>0.18729680020227599</v>
      </c>
      <c r="F70">
        <v>0.25193759672600002</v>
      </c>
      <c r="G70" s="1">
        <f t="shared" si="52"/>
        <v>1.82294546495398</v>
      </c>
      <c r="H70" s="1">
        <f t="shared" si="53"/>
        <v>0.113734012708</v>
      </c>
      <c r="I70" s="1">
        <f t="shared" si="54"/>
        <v>0.29152014276244598</v>
      </c>
      <c r="J70" s="1">
        <f t="shared" si="55"/>
        <v>-0.64102098787177997</v>
      </c>
      <c r="K70" s="1">
        <f t="shared" si="56"/>
        <v>0.82294546495398402</v>
      </c>
      <c r="L70" s="1">
        <f t="shared" si="57"/>
        <v>0.48980116315612499</v>
      </c>
      <c r="M70" s="1">
        <f t="shared" si="58"/>
        <v>0.191656135849605</v>
      </c>
      <c r="N70" s="1">
        <f t="shared" si="59"/>
        <v>0.17060969961966599</v>
      </c>
      <c r="O70" s="1">
        <f t="shared" si="60"/>
        <v>0.239813813906566</v>
      </c>
      <c r="P70" s="1">
        <f t="shared" si="61"/>
        <v>0.18208721981946399</v>
      </c>
      <c r="Q70" s="2">
        <f t="shared" si="62"/>
        <v>0.50158637634488701</v>
      </c>
      <c r="R70" s="1">
        <f t="shared" si="63"/>
        <v>3.0127314043565101</v>
      </c>
      <c r="S70" s="2">
        <f t="shared" si="64"/>
        <v>0.39398388749155699</v>
      </c>
      <c r="T70" s="1">
        <f t="shared" si="65"/>
        <v>-0.46893809016465499</v>
      </c>
      <c r="U70" s="1">
        <f t="shared" si="66"/>
        <v>0.30215585582037702</v>
      </c>
      <c r="V70" s="2">
        <f t="shared" si="67"/>
        <v>0.27362432724074698</v>
      </c>
      <c r="W70" s="2">
        <f t="shared" si="68"/>
        <v>0.16831328280220001</v>
      </c>
      <c r="X70" s="1">
        <f t="shared" si="69"/>
        <v>0.29055748073568499</v>
      </c>
      <c r="Y70" s="2">
        <f t="shared" si="70"/>
        <v>1.0007928738479701</v>
      </c>
      <c r="Z70" s="1">
        <f t="shared" si="71"/>
        <v>0.73572215643993999</v>
      </c>
      <c r="AA70" s="1">
        <f t="shared" si="72"/>
        <v>2.8897393936103599</v>
      </c>
      <c r="AB70" s="1">
        <f t="shared" si="73"/>
        <v>0.16778095532490001</v>
      </c>
      <c r="AC70" s="2">
        <f t="shared" si="74"/>
        <v>1.34512493782015</v>
      </c>
      <c r="AD70" s="2">
        <f t="shared" si="75"/>
        <v>6.4640796523723995E-2</v>
      </c>
      <c r="AE70" s="1">
        <f t="shared" si="76"/>
        <v>0.14716697275026799</v>
      </c>
      <c r="AF70" s="2">
        <f t="shared" si="77"/>
        <v>9.7534559724040903E-2</v>
      </c>
      <c r="AG70" s="5">
        <f t="shared" si="78"/>
        <v>0.10323428858940099</v>
      </c>
      <c r="AH70" s="1">
        <f t="shared" si="79"/>
        <v>29.648689931234401</v>
      </c>
      <c r="AI70" s="1">
        <f t="shared" si="80"/>
        <v>0.34512493782015202</v>
      </c>
      <c r="AJ70" s="1">
        <f t="shared" si="81"/>
        <v>0.22536856994624699</v>
      </c>
      <c r="AK70" s="2">
        <f t="shared" si="82"/>
        <v>0.11604310051685</v>
      </c>
      <c r="AL70" s="2">
        <f t="shared" si="83"/>
        <v>0.12513187552632199</v>
      </c>
      <c r="AM70" s="1">
        <f t="shared" si="84"/>
        <v>3.0127314043565101</v>
      </c>
      <c r="AN70" s="1">
        <f t="shared" si="85"/>
        <v>0.103672486278476</v>
      </c>
      <c r="AO70" s="1">
        <f t="shared" si="86"/>
        <v>0.38266669105100098</v>
      </c>
      <c r="AP70" s="1">
        <f t="shared" si="87"/>
        <v>2.2397409487023601</v>
      </c>
      <c r="AQ70" s="1">
        <f t="shared" si="88"/>
        <v>4.9093216184275999E-2</v>
      </c>
      <c r="AR70" s="1">
        <f t="shared" si="89"/>
        <v>0.150823834822429</v>
      </c>
      <c r="AS70" s="1">
        <f t="shared" si="90"/>
        <v>0.62350965858088403</v>
      </c>
      <c r="AT70" s="1">
        <f t="shared" si="91"/>
        <v>0.23933926859386501</v>
      </c>
      <c r="AU70" s="2">
        <f t="shared" si="92"/>
        <v>0.32435829713754499</v>
      </c>
      <c r="AV70" s="2">
        <f t="shared" si="93"/>
        <v>0.15993673278871401</v>
      </c>
      <c r="AW70" s="2">
        <f t="shared" si="94"/>
        <v>0.481846417582735</v>
      </c>
      <c r="AX70" s="2">
        <f t="shared" si="95"/>
        <v>1.5547580339447999E-2</v>
      </c>
      <c r="AY70" s="7">
        <f t="shared" si="96"/>
        <v>1.4798852057943901</v>
      </c>
      <c r="AZ70" s="2">
        <f t="shared" si="97"/>
        <v>0.120671307397634</v>
      </c>
      <c r="BA70" s="1">
        <f t="shared" si="98"/>
        <v>2.0945388979465802</v>
      </c>
      <c r="BB70" s="2">
        <f t="shared" si="99"/>
        <v>5.6352656050242401E-2</v>
      </c>
      <c r="BC70" s="1">
        <f t="shared" si="100"/>
        <v>0.60973415257377395</v>
      </c>
      <c r="BD70" s="1">
        <f t="shared" si="101"/>
        <v>5.8080953133003002E-2</v>
      </c>
      <c r="BE70" s="2">
        <f t="shared" si="102"/>
        <v>1.6497329746692001E-2</v>
      </c>
      <c r="BF70" s="1">
        <f t="shared" si="103"/>
        <v>0.50482608630646697</v>
      </c>
    </row>
    <row r="71" spans="1:58" customFormat="1" x14ac:dyDescent="0.15">
      <c r="A71" s="6">
        <v>180.5</v>
      </c>
      <c r="B71">
        <v>0.12675396118000001</v>
      </c>
      <c r="C71">
        <v>0.16637560279800001</v>
      </c>
      <c r="D71" s="4">
        <v>0.117367218498</v>
      </c>
      <c r="E71" s="4">
        <v>0.22171456286796001</v>
      </c>
      <c r="F71">
        <v>0.23665544903899999</v>
      </c>
      <c r="G71" s="1">
        <f t="shared" si="52"/>
        <v>1.4224167790173401</v>
      </c>
      <c r="H71" s="1">
        <f t="shared" si="53"/>
        <v>7.0279846241000005E-2</v>
      </c>
      <c r="I71" s="1">
        <f t="shared" si="54"/>
        <v>0.174378241876568</v>
      </c>
      <c r="J71" s="1">
        <f t="shared" si="55"/>
        <v>-0.70839417520205294</v>
      </c>
      <c r="K71" s="1">
        <f t="shared" si="56"/>
        <v>0.42241677901734298</v>
      </c>
      <c r="L71" s="1">
        <f t="shared" si="57"/>
        <v>0.271404302221256</v>
      </c>
      <c r="M71" s="1">
        <f t="shared" si="58"/>
        <v>0.11673991624878099</v>
      </c>
      <c r="N71" s="1">
        <f t="shared" si="59"/>
        <v>0.10254066596195301</v>
      </c>
      <c r="O71" s="1">
        <f t="shared" si="60"/>
        <v>0.14479595996272299</v>
      </c>
      <c r="P71" s="1">
        <f t="shared" si="61"/>
        <v>0.110703550199897</v>
      </c>
      <c r="Q71" s="2">
        <f t="shared" si="62"/>
        <v>0.33695082682391497</v>
      </c>
      <c r="R71" s="1">
        <f t="shared" si="63"/>
        <v>2.0163675348839698</v>
      </c>
      <c r="S71" s="2">
        <f t="shared" si="64"/>
        <v>0.26919892091645897</v>
      </c>
      <c r="T71" s="1">
        <f t="shared" si="65"/>
        <v>-0.610352499930507</v>
      </c>
      <c r="U71" s="1">
        <f t="shared" si="66"/>
        <v>0.20951709200827301</v>
      </c>
      <c r="V71" s="2">
        <f t="shared" si="67"/>
        <v>0.18521661334019801</v>
      </c>
      <c r="W71" s="2">
        <f t="shared" si="68"/>
        <v>0.119288230541</v>
      </c>
      <c r="X71" s="1">
        <f t="shared" si="69"/>
        <v>0.20048508151768199</v>
      </c>
      <c r="Y71" s="2">
        <f t="shared" si="70"/>
        <v>0.91485016632447203</v>
      </c>
      <c r="Z71" s="1">
        <f t="shared" si="71"/>
        <v>0.41998856857510097</v>
      </c>
      <c r="AA71" s="1">
        <f t="shared" si="72"/>
        <v>2.6987960571909202</v>
      </c>
      <c r="AB71" s="1">
        <f t="shared" si="73"/>
        <v>0.17701133376850001</v>
      </c>
      <c r="AC71" s="2">
        <f t="shared" si="74"/>
        <v>1.06738793328582</v>
      </c>
      <c r="AD71" s="2">
        <f t="shared" si="75"/>
        <v>1.494088617104E-2</v>
      </c>
      <c r="AE71" s="1">
        <f t="shared" si="76"/>
        <v>3.2595688598565403E-2</v>
      </c>
      <c r="AF71" s="2">
        <f t="shared" si="77"/>
        <v>2.20682684644226E-2</v>
      </c>
      <c r="AG71" s="5">
        <f t="shared" si="78"/>
        <v>2.33848398615541E-2</v>
      </c>
      <c r="AH71" s="1">
        <f t="shared" si="79"/>
        <v>6.5214480081291697</v>
      </c>
      <c r="AI71" s="1">
        <f t="shared" si="80"/>
        <v>6.7387933285816007E-2</v>
      </c>
      <c r="AJ71" s="1">
        <f t="shared" si="81"/>
        <v>4.68674310015533E-2</v>
      </c>
      <c r="AK71" s="2">
        <f t="shared" si="82"/>
        <v>2.6242077767319901E-2</v>
      </c>
      <c r="AL71" s="2">
        <f t="shared" si="83"/>
        <v>2.8027600990802998E-2</v>
      </c>
      <c r="AM71" s="1">
        <f t="shared" si="84"/>
        <v>2.0163675348839698</v>
      </c>
      <c r="AN71" s="1">
        <f t="shared" si="85"/>
        <v>0.10434734436996</v>
      </c>
      <c r="AO71" s="1">
        <f t="shared" si="86"/>
        <v>0.30773503651421902</v>
      </c>
      <c r="AP71" s="1">
        <f t="shared" si="87"/>
        <v>1.88906720041029</v>
      </c>
      <c r="AQ71" s="1">
        <f t="shared" si="88"/>
        <v>5.5338960069960003E-2</v>
      </c>
      <c r="AR71" s="1">
        <f t="shared" si="89"/>
        <v>0.14259304915649901</v>
      </c>
      <c r="AS71" s="1">
        <f t="shared" si="90"/>
        <v>0.14318415347560301</v>
      </c>
      <c r="AT71" s="1">
        <f t="shared" si="91"/>
        <v>0.266309356771671</v>
      </c>
      <c r="AU71" s="2">
        <f t="shared" si="92"/>
        <v>0.354887745746989</v>
      </c>
      <c r="AV71" s="2">
        <f t="shared" si="93"/>
        <v>0.20385553043954899</v>
      </c>
      <c r="AW71" s="2">
        <f t="shared" si="94"/>
        <v>0.41104767338485698</v>
      </c>
      <c r="AX71" s="2">
        <f t="shared" si="95"/>
        <v>-4.0398073898920001E-2</v>
      </c>
      <c r="AY71" s="7">
        <f t="shared" si="96"/>
        <v>1.69733197952572</v>
      </c>
      <c r="AZ71" s="2">
        <f t="shared" si="97"/>
        <v>2.8315885625623101E-2</v>
      </c>
      <c r="BA71" s="1">
        <f t="shared" si="98"/>
        <v>2.7678347054688102</v>
      </c>
      <c r="BB71" s="2">
        <f t="shared" si="99"/>
        <v>9.4454964539980796E-4</v>
      </c>
      <c r="BC71" s="1">
        <f t="shared" si="100"/>
        <v>0.54285202275420896</v>
      </c>
      <c r="BD71" s="1">
        <f t="shared" si="101"/>
        <v>-3.1573432204368097E-2</v>
      </c>
      <c r="BE71" s="2">
        <f t="shared" si="102"/>
        <v>-6.4813901622839995E-2</v>
      </c>
      <c r="BF71" s="1">
        <f t="shared" si="103"/>
        <v>0.186925204932608</v>
      </c>
    </row>
    <row r="72" spans="1:58" customFormat="1" x14ac:dyDescent="0.15">
      <c r="A72" s="6">
        <v>175</v>
      </c>
      <c r="B72">
        <v>0.10281230413299999</v>
      </c>
      <c r="C72">
        <v>0.14123945468400001</v>
      </c>
      <c r="D72" s="4">
        <v>9.0957731985500001E-2</v>
      </c>
      <c r="E72" s="4">
        <v>0.19477688662521001</v>
      </c>
      <c r="F72">
        <v>0.22426900483600001</v>
      </c>
      <c r="G72" s="1">
        <f t="shared" si="52"/>
        <v>1.5878637122875101</v>
      </c>
      <c r="H72" s="1">
        <f t="shared" si="53"/>
        <v>8.3029550152000003E-2</v>
      </c>
      <c r="I72" s="1">
        <f t="shared" si="54"/>
        <v>0.22716177420636899</v>
      </c>
      <c r="J72" s="1">
        <f t="shared" si="55"/>
        <v>-0.67990481289989402</v>
      </c>
      <c r="K72" s="1">
        <f t="shared" si="56"/>
        <v>0.587863712287511</v>
      </c>
      <c r="L72" s="1">
        <f t="shared" si="57"/>
        <v>0.36543147630543998</v>
      </c>
      <c r="M72" s="1">
        <f t="shared" si="58"/>
        <v>0.143897293964141</v>
      </c>
      <c r="N72" s="1">
        <f t="shared" si="59"/>
        <v>0.12551488914064199</v>
      </c>
      <c r="O72" s="1">
        <f t="shared" si="60"/>
        <v>0.18327826399653699</v>
      </c>
      <c r="P72" s="1">
        <f t="shared" si="61"/>
        <v>0.13733586539606099</v>
      </c>
      <c r="Q72" s="2">
        <f t="shared" si="62"/>
        <v>0.42290598251501998</v>
      </c>
      <c r="R72" s="1">
        <f t="shared" si="63"/>
        <v>2.4656398080786799</v>
      </c>
      <c r="S72" s="2">
        <f t="shared" si="64"/>
        <v>0.32540483210367999</v>
      </c>
      <c r="T72" s="1">
        <f t="shared" si="65"/>
        <v>-0.54335661811706604</v>
      </c>
      <c r="U72" s="1">
        <f t="shared" si="66"/>
        <v>0.24528993008178801</v>
      </c>
      <c r="V72" s="2">
        <f t="shared" si="67"/>
        <v>0.216388068331065</v>
      </c>
      <c r="W72" s="2">
        <f t="shared" si="68"/>
        <v>0.13331127285050001</v>
      </c>
      <c r="X72" s="1">
        <f t="shared" si="69"/>
        <v>0.237440802780753</v>
      </c>
      <c r="Y72" s="2">
        <f t="shared" si="70"/>
        <v>0.96067995842268905</v>
      </c>
      <c r="Z72" s="1">
        <f t="shared" si="71"/>
        <v>0.57023558999236701</v>
      </c>
      <c r="AA72" s="1">
        <f t="shared" si="72"/>
        <v>2.8152477733870498</v>
      </c>
      <c r="AB72" s="1">
        <f t="shared" si="73"/>
        <v>0.15761336841074999</v>
      </c>
      <c r="AC72" s="2">
        <f t="shared" si="74"/>
        <v>1.1514148763838601</v>
      </c>
      <c r="AD72" s="2">
        <f t="shared" si="75"/>
        <v>2.9492118210790001E-2</v>
      </c>
      <c r="AE72" s="1">
        <f t="shared" si="76"/>
        <v>7.0379208606368093E-2</v>
      </c>
      <c r="AF72" s="2">
        <f t="shared" si="77"/>
        <v>4.5559103808139802E-2</v>
      </c>
      <c r="AG72" s="5">
        <f t="shared" si="78"/>
        <v>4.8134894815589503E-2</v>
      </c>
      <c r="AH72" s="1">
        <f t="shared" si="79"/>
        <v>14.0991513433067</v>
      </c>
      <c r="AI72" s="1">
        <f t="shared" si="80"/>
        <v>0.151414876383864</v>
      </c>
      <c r="AJ72" s="1">
        <f t="shared" si="81"/>
        <v>0.10323012724552499</v>
      </c>
      <c r="AK72" s="2">
        <f t="shared" si="82"/>
        <v>5.4264875424309501E-2</v>
      </c>
      <c r="AL72" s="2">
        <f t="shared" si="83"/>
        <v>5.9081426237540598E-2</v>
      </c>
      <c r="AM72" s="1">
        <f t="shared" si="84"/>
        <v>2.4656398080786799</v>
      </c>
      <c r="AN72" s="1">
        <f t="shared" si="85"/>
        <v>0.10381915463971</v>
      </c>
      <c r="AO72" s="1">
        <f t="shared" si="86"/>
        <v>0.36334118401367099</v>
      </c>
      <c r="AP72" s="1">
        <f t="shared" si="87"/>
        <v>2.1413999928698799</v>
      </c>
      <c r="AQ72" s="1">
        <f t="shared" si="88"/>
        <v>5.3537431941210002E-2</v>
      </c>
      <c r="AR72" s="1">
        <f t="shared" si="89"/>
        <v>0.159329846080145</v>
      </c>
      <c r="AS72" s="1">
        <f t="shared" si="90"/>
        <v>0.28407203192068298</v>
      </c>
      <c r="AT72" s="1">
        <f t="shared" si="91"/>
        <v>0.25208486292874599</v>
      </c>
      <c r="AU72" s="2">
        <f t="shared" si="92"/>
        <v>0.34763873080972801</v>
      </c>
      <c r="AV72" s="2">
        <f t="shared" si="93"/>
        <v>0.178347226968289</v>
      </c>
      <c r="AW72" s="2">
        <f t="shared" si="94"/>
        <v>0.439740022473456</v>
      </c>
      <c r="AX72" s="2">
        <f t="shared" si="95"/>
        <v>-2.4045313730420001E-2</v>
      </c>
      <c r="AY72" s="7">
        <f t="shared" si="96"/>
        <v>1.6055882828035399</v>
      </c>
      <c r="AZ72" s="2">
        <f t="shared" si="97"/>
        <v>5.52852376391176E-2</v>
      </c>
      <c r="BA72" s="1">
        <f t="shared" si="98"/>
        <v>2.2843810619309299</v>
      </c>
      <c r="BB72" s="2">
        <f t="shared" si="99"/>
        <v>1.48373717990805E-2</v>
      </c>
      <c r="BC72" s="1">
        <f t="shared" si="100"/>
        <v>0.52439555001089999</v>
      </c>
      <c r="BD72" s="1">
        <f t="shared" si="101"/>
        <v>-3.6215950174703802E-3</v>
      </c>
      <c r="BE72" s="2">
        <f t="shared" si="102"/>
        <v>-4.104974360475E-2</v>
      </c>
      <c r="BF72" s="1">
        <f t="shared" si="103"/>
        <v>0.30981976986335302</v>
      </c>
    </row>
    <row r="73" spans="1:58" customFormat="1" x14ac:dyDescent="0.15">
      <c r="A73" s="6">
        <v>181</v>
      </c>
      <c r="B73">
        <v>0.108514616415</v>
      </c>
      <c r="C73">
        <v>0.14548346624299999</v>
      </c>
      <c r="D73" s="4">
        <v>9.7244747416300001E-2</v>
      </c>
      <c r="E73" s="4">
        <v>0.201189642364626</v>
      </c>
      <c r="F73">
        <v>0.22617075760200001</v>
      </c>
      <c r="G73" s="1">
        <f t="shared" si="52"/>
        <v>1.5546148537884601</v>
      </c>
      <c r="H73" s="1">
        <f t="shared" si="53"/>
        <v>8.0687291359000005E-2</v>
      </c>
      <c r="I73" s="1">
        <f t="shared" si="54"/>
        <v>0.21710311946475</v>
      </c>
      <c r="J73" s="1">
        <f t="shared" si="55"/>
        <v>-0.68555360032868795</v>
      </c>
      <c r="K73" s="1">
        <f t="shared" si="56"/>
        <v>0.55461485378846198</v>
      </c>
      <c r="L73" s="1">
        <f t="shared" si="57"/>
        <v>0.34699944504128699</v>
      </c>
      <c r="M73" s="1">
        <f t="shared" si="58"/>
        <v>0.13885200544846099</v>
      </c>
      <c r="N73" s="1">
        <f t="shared" si="59"/>
        <v>0.121233251343492</v>
      </c>
      <c r="O73" s="1">
        <f t="shared" si="60"/>
        <v>0.17604911948132601</v>
      </c>
      <c r="P73" s="1">
        <f t="shared" si="61"/>
        <v>0.13235355172869401</v>
      </c>
      <c r="Q73" s="2">
        <f t="shared" si="62"/>
        <v>0.39863892789680799</v>
      </c>
      <c r="R73" s="1">
        <f t="shared" si="63"/>
        <v>2.32578893576405</v>
      </c>
      <c r="S73" s="2">
        <f t="shared" si="64"/>
        <v>0.309369828362767</v>
      </c>
      <c r="T73" s="1">
        <f t="shared" si="65"/>
        <v>-0.56360591856481301</v>
      </c>
      <c r="U73" s="1">
        <f t="shared" si="66"/>
        <v>0.234862003569209</v>
      </c>
      <c r="V73" s="2">
        <f t="shared" si="67"/>
        <v>0.207063881491827</v>
      </c>
      <c r="W73" s="2">
        <f t="shared" si="68"/>
        <v>0.12892601018569999</v>
      </c>
      <c r="X73" s="1">
        <f t="shared" si="69"/>
        <v>0.226704491526834</v>
      </c>
      <c r="Y73" s="2">
        <f t="shared" si="70"/>
        <v>0.94796567864918402</v>
      </c>
      <c r="Z73" s="1">
        <f t="shared" si="71"/>
        <v>0.52505374848365505</v>
      </c>
      <c r="AA73" s="1">
        <f t="shared" si="72"/>
        <v>2.78517457501006</v>
      </c>
      <c r="AB73" s="1">
        <f t="shared" si="73"/>
        <v>0.16170775250915001</v>
      </c>
      <c r="AC73" s="2">
        <f t="shared" si="74"/>
        <v>1.1241670045424099</v>
      </c>
      <c r="AD73" s="2">
        <f t="shared" si="75"/>
        <v>2.4981115237374001E-2</v>
      </c>
      <c r="AE73" s="1">
        <f t="shared" si="76"/>
        <v>5.8454445567078399E-2</v>
      </c>
      <c r="AF73" s="2">
        <f t="shared" si="77"/>
        <v>3.8213312351168802E-2</v>
      </c>
      <c r="AG73" s="5">
        <f t="shared" si="78"/>
        <v>4.0406807167320903E-2</v>
      </c>
      <c r="AH73" s="1">
        <f t="shared" si="79"/>
        <v>11.704232098824599</v>
      </c>
      <c r="AI73" s="1">
        <f t="shared" si="80"/>
        <v>0.124167004542408</v>
      </c>
      <c r="AJ73" s="1">
        <f t="shared" si="81"/>
        <v>8.51945620814578E-2</v>
      </c>
      <c r="AK73" s="2">
        <f t="shared" si="82"/>
        <v>4.5507611440020503E-2</v>
      </c>
      <c r="AL73" s="2">
        <f t="shared" si="83"/>
        <v>4.9336137875485603E-2</v>
      </c>
      <c r="AM73" s="1">
        <f t="shared" si="84"/>
        <v>2.32578893576405</v>
      </c>
      <c r="AN73" s="1">
        <f t="shared" si="85"/>
        <v>0.103944894948326</v>
      </c>
      <c r="AO73" s="1">
        <f t="shared" si="86"/>
        <v>0.34830066007013999</v>
      </c>
      <c r="AP73" s="1">
        <f t="shared" si="87"/>
        <v>2.06889983994038</v>
      </c>
      <c r="AQ73" s="1">
        <f t="shared" si="88"/>
        <v>5.5706176121625997E-2</v>
      </c>
      <c r="AR73" s="1">
        <f t="shared" si="89"/>
        <v>0.16068790667197599</v>
      </c>
      <c r="AS73" s="1">
        <f t="shared" si="90"/>
        <v>0.240330371681965</v>
      </c>
      <c r="AT73" s="1">
        <f t="shared" si="91"/>
        <v>0.25396704900696598</v>
      </c>
      <c r="AU73" s="2">
        <f t="shared" si="92"/>
        <v>0.35121200423398202</v>
      </c>
      <c r="AV73" s="2">
        <f t="shared" si="93"/>
        <v>0.18536750525880399</v>
      </c>
      <c r="AW73" s="2">
        <f t="shared" si="94"/>
        <v>0.43112569278111001</v>
      </c>
      <c r="AX73" s="2">
        <f t="shared" si="95"/>
        <v>-3.0725060884252E-2</v>
      </c>
      <c r="AY73" s="7">
        <f t="shared" si="96"/>
        <v>1.5978477900822401</v>
      </c>
      <c r="AZ73" s="2">
        <f t="shared" si="97"/>
        <v>4.6530768165968697E-2</v>
      </c>
      <c r="BA73" s="1">
        <f t="shared" si="98"/>
        <v>2.3164456008001499</v>
      </c>
      <c r="BB73" s="2">
        <f t="shared" si="99"/>
        <v>9.9417473601899307E-3</v>
      </c>
      <c r="BC73" s="1">
        <f t="shared" si="100"/>
        <v>0.52579594600748503</v>
      </c>
      <c r="BD73" s="1">
        <f t="shared" si="101"/>
        <v>-1.2017274294715399E-2</v>
      </c>
      <c r="BE73" s="2">
        <f t="shared" si="102"/>
        <v>-5.0928828807917999E-2</v>
      </c>
      <c r="BF73" s="1">
        <f t="shared" si="103"/>
        <v>0.26924737751900102</v>
      </c>
    </row>
    <row r="74" spans="1:58" customFormat="1" x14ac:dyDescent="0.15">
      <c r="A74" s="6">
        <v>165.5</v>
      </c>
      <c r="B74">
        <v>0.150592235267</v>
      </c>
      <c r="C74">
        <v>0.18997548792300001</v>
      </c>
      <c r="D74" s="4">
        <v>0.14530414063399999</v>
      </c>
      <c r="E74" s="4">
        <v>0.25021022344667998</v>
      </c>
      <c r="F74">
        <v>0.21534877959500001</v>
      </c>
      <c r="G74" s="1">
        <f t="shared" si="52"/>
        <v>1.1335608711913601</v>
      </c>
      <c r="H74" s="1">
        <f t="shared" si="53"/>
        <v>2.5373291672E-2</v>
      </c>
      <c r="I74" s="1">
        <f t="shared" si="54"/>
        <v>6.25999815588964E-2</v>
      </c>
      <c r="J74" s="1">
        <f t="shared" si="55"/>
        <v>-0.76052106494449301</v>
      </c>
      <c r="K74" s="1">
        <f t="shared" si="56"/>
        <v>0.13356087119136201</v>
      </c>
      <c r="L74" s="1">
        <f t="shared" si="57"/>
        <v>9.1438001255328305E-2</v>
      </c>
      <c r="M74" s="1">
        <f t="shared" si="58"/>
        <v>4.20401163136205E-2</v>
      </c>
      <c r="N74" s="1">
        <f t="shared" si="59"/>
        <v>3.6395693495484702E-2</v>
      </c>
      <c r="O74" s="1">
        <f t="shared" si="60"/>
        <v>5.2063956972416503E-2</v>
      </c>
      <c r="P74" s="1">
        <f t="shared" si="61"/>
        <v>3.9854329636260399E-2</v>
      </c>
      <c r="Q74" s="2">
        <f t="shared" si="62"/>
        <v>0.19421619799036799</v>
      </c>
      <c r="R74" s="1">
        <f t="shared" si="63"/>
        <v>1.4820553540689001</v>
      </c>
      <c r="S74" s="2">
        <f t="shared" si="64"/>
        <v>0.15605747713663601</v>
      </c>
      <c r="T74" s="1">
        <f t="shared" si="65"/>
        <v>-0.69801392460981704</v>
      </c>
      <c r="U74" s="1">
        <f t="shared" si="66"/>
        <v>0.122078198971943</v>
      </c>
      <c r="V74" s="2">
        <f t="shared" si="67"/>
        <v>0.10573037555354101</v>
      </c>
      <c r="W74" s="2">
        <f t="shared" si="68"/>
        <v>7.0044638960999994E-2</v>
      </c>
      <c r="X74" s="1">
        <f t="shared" si="69"/>
        <v>0.116635343994063</v>
      </c>
      <c r="Y74" s="2">
        <f t="shared" si="70"/>
        <v>0.83319637420620596</v>
      </c>
      <c r="Z74" s="1">
        <f t="shared" si="71"/>
        <v>0.21739695829622499</v>
      </c>
      <c r="AA74" s="1">
        <f t="shared" si="72"/>
        <v>2.5486869431985899</v>
      </c>
      <c r="AB74" s="1">
        <f t="shared" si="73"/>
        <v>0.18032646011449999</v>
      </c>
      <c r="AC74" s="2">
        <f t="shared" si="74"/>
        <v>0.86067138515981201</v>
      </c>
      <c r="AD74" s="2">
        <f t="shared" si="75"/>
        <v>-3.4861443851680003E-2</v>
      </c>
      <c r="AE74" s="1">
        <f t="shared" si="76"/>
        <v>-7.4880828474836597E-2</v>
      </c>
      <c r="AF74" s="2">
        <f t="shared" si="77"/>
        <v>-5.10926002219773E-2</v>
      </c>
      <c r="AG74" s="5">
        <f t="shared" si="78"/>
        <v>-5.4157400648526401E-2</v>
      </c>
      <c r="AH74" s="1">
        <f t="shared" si="79"/>
        <v>-15.0042513888651</v>
      </c>
      <c r="AI74" s="1">
        <f t="shared" si="80"/>
        <v>-0.13932861484018799</v>
      </c>
      <c r="AJ74" s="1">
        <f t="shared" si="81"/>
        <v>-0.102142264070681</v>
      </c>
      <c r="AK74" s="2">
        <f t="shared" si="82"/>
        <v>-6.07587153292947E-2</v>
      </c>
      <c r="AL74" s="2">
        <f t="shared" si="83"/>
        <v>-6.4645020967357705E-2</v>
      </c>
      <c r="AM74" s="1">
        <f t="shared" si="84"/>
        <v>1.4820553540689001</v>
      </c>
      <c r="AN74" s="1">
        <f t="shared" si="85"/>
        <v>0.10490608281268</v>
      </c>
      <c r="AO74" s="1">
        <f t="shared" si="86"/>
        <v>0.26523962803859202</v>
      </c>
      <c r="AP74" s="1">
        <f t="shared" si="87"/>
        <v>1.7219758663101199</v>
      </c>
      <c r="AQ74" s="1">
        <f t="shared" si="88"/>
        <v>6.023473552368E-2</v>
      </c>
      <c r="AR74" s="1">
        <f t="shared" si="89"/>
        <v>0.13683937022002299</v>
      </c>
      <c r="AS74" s="1">
        <f t="shared" si="90"/>
        <v>-0.33231098633173101</v>
      </c>
      <c r="AT74" s="1">
        <f t="shared" si="91"/>
        <v>0.28980242922601002</v>
      </c>
      <c r="AU74" s="2">
        <f t="shared" si="92"/>
        <v>0.38168887662718198</v>
      </c>
      <c r="AV74" s="2">
        <f t="shared" si="93"/>
        <v>0.23786692999626299</v>
      </c>
      <c r="AW74" s="2">
        <f t="shared" si="94"/>
        <v>0.35253195715689301</v>
      </c>
      <c r="AX74" s="2">
        <f t="shared" si="95"/>
        <v>-9.5096179375359996E-2</v>
      </c>
      <c r="AY74" s="7">
        <f t="shared" si="96"/>
        <v>2.7605657108453099</v>
      </c>
      <c r="AZ74" s="2">
        <f t="shared" si="97"/>
        <v>-6.7467113386781005E-2</v>
      </c>
      <c r="BA74" s="1">
        <f t="shared" si="98"/>
        <v>4.0310417527263596</v>
      </c>
      <c r="BB74" s="2">
        <f t="shared" si="99"/>
        <v>-3.4371860386377198E-2</v>
      </c>
      <c r="BC74" s="1">
        <f t="shared" si="100"/>
        <v>0.45954246223561801</v>
      </c>
      <c r="BD74" s="1">
        <f t="shared" si="101"/>
        <v>-0.14075558141759001</v>
      </c>
      <c r="BE74" s="2">
        <f t="shared" si="102"/>
        <v>-0.14416666656336</v>
      </c>
      <c r="BF74" s="1">
        <f t="shared" si="103"/>
        <v>-1.1961797209857901</v>
      </c>
    </row>
    <row r="75" spans="1:58" customFormat="1" x14ac:dyDescent="0.15">
      <c r="A75" s="6">
        <v>162.5</v>
      </c>
      <c r="B75">
        <v>0.15803564644599999</v>
      </c>
      <c r="C75">
        <v>0.19699214073999999</v>
      </c>
      <c r="D75" s="4">
        <v>0.15567462721600001</v>
      </c>
      <c r="E75" s="4">
        <v>0.26078811976032001</v>
      </c>
      <c r="F75">
        <v>0.20937011352099999</v>
      </c>
      <c r="G75" s="1">
        <f t="shared" si="52"/>
        <v>1.06283485592117</v>
      </c>
      <c r="H75" s="1">
        <f t="shared" si="53"/>
        <v>1.2377972781E-2</v>
      </c>
      <c r="I75" s="1">
        <f t="shared" si="54"/>
        <v>3.0460439303129298E-2</v>
      </c>
      <c r="J75" s="1">
        <f t="shared" si="55"/>
        <v>-0.77377270510406004</v>
      </c>
      <c r="K75" s="1">
        <f t="shared" si="56"/>
        <v>6.2834855921166194E-2</v>
      </c>
      <c r="L75" s="1">
        <f t="shared" si="57"/>
        <v>4.3749026445254302E-2</v>
      </c>
      <c r="M75" s="1">
        <f t="shared" si="58"/>
        <v>2.0485141657447501E-2</v>
      </c>
      <c r="N75" s="1">
        <f t="shared" si="59"/>
        <v>1.76693021908437E-2</v>
      </c>
      <c r="O75" s="1">
        <f t="shared" si="60"/>
        <v>2.5352057482529701E-2</v>
      </c>
      <c r="P75" s="1">
        <f t="shared" si="61"/>
        <v>1.9417478945306901E-2</v>
      </c>
      <c r="Q75" s="2">
        <f t="shared" si="62"/>
        <v>0.147092891125051</v>
      </c>
      <c r="R75" s="1">
        <f t="shared" si="63"/>
        <v>1.3449212454544499</v>
      </c>
      <c r="S75" s="2">
        <f t="shared" si="64"/>
        <v>0.118631345638028</v>
      </c>
      <c r="T75" s="1">
        <f t="shared" si="65"/>
        <v>-0.72207359612090205</v>
      </c>
      <c r="U75" s="1">
        <f t="shared" si="66"/>
        <v>9.3108744166086499E-2</v>
      </c>
      <c r="V75" s="2">
        <f t="shared" si="67"/>
        <v>8.0231825585194497E-2</v>
      </c>
      <c r="W75" s="2">
        <f t="shared" si="68"/>
        <v>5.3695486304999998E-2</v>
      </c>
      <c r="X75" s="1">
        <f t="shared" si="69"/>
        <v>8.8871954636814604E-2</v>
      </c>
      <c r="Y75" s="2">
        <f t="shared" si="70"/>
        <v>0.804420842050385</v>
      </c>
      <c r="Z75" s="1">
        <f t="shared" si="71"/>
        <v>0.15970739648173801</v>
      </c>
      <c r="AA75" s="1">
        <f t="shared" si="72"/>
        <v>2.4989687637882998</v>
      </c>
      <c r="AB75" s="1">
        <f t="shared" si="73"/>
        <v>0.1825223703685</v>
      </c>
      <c r="AC75" s="2">
        <f t="shared" si="74"/>
        <v>0.80283608667995998</v>
      </c>
      <c r="AD75" s="2">
        <f t="shared" si="75"/>
        <v>-5.1418006239319997E-2</v>
      </c>
      <c r="AE75" s="1">
        <f t="shared" si="76"/>
        <v>-0.109363194345156</v>
      </c>
      <c r="AF75" s="2">
        <f t="shared" si="77"/>
        <v>-7.4988248473952093E-2</v>
      </c>
      <c r="AG75" s="5">
        <f t="shared" si="78"/>
        <v>-7.9499412274343206E-2</v>
      </c>
      <c r="AH75" s="1">
        <f t="shared" si="79"/>
        <v>-21.960471204884598</v>
      </c>
      <c r="AI75" s="1">
        <f t="shared" si="80"/>
        <v>-0.19716391332003999</v>
      </c>
      <c r="AJ75" s="1">
        <f t="shared" si="81"/>
        <v>-0.14684166769099</v>
      </c>
      <c r="AK75" s="2">
        <f t="shared" si="82"/>
        <v>-8.9159561034114196E-2</v>
      </c>
      <c r="AL75" s="2">
        <f t="shared" si="83"/>
        <v>-9.4650651356298507E-2</v>
      </c>
      <c r="AM75" s="1">
        <f t="shared" si="84"/>
        <v>1.3449212454544499</v>
      </c>
      <c r="AN75" s="1">
        <f t="shared" si="85"/>
        <v>0.10511349254431999</v>
      </c>
      <c r="AO75" s="1">
        <f t="shared" si="86"/>
        <v>0.25239590649460097</v>
      </c>
      <c r="AP75" s="1">
        <f t="shared" si="87"/>
        <v>1.67521274612384</v>
      </c>
      <c r="AQ75" s="1">
        <f t="shared" si="88"/>
        <v>6.3795979020319998E-2</v>
      </c>
      <c r="AR75" s="1">
        <f t="shared" si="89"/>
        <v>0.13935939254042001</v>
      </c>
      <c r="AS75" s="1">
        <f t="shared" si="90"/>
        <v>-0.48916656648660201</v>
      </c>
      <c r="AT75" s="1">
        <f t="shared" si="91"/>
        <v>0.29527397182228798</v>
      </c>
      <c r="AU75" s="2">
        <f t="shared" si="92"/>
        <v>0.39089855887870001</v>
      </c>
      <c r="AV75" s="2">
        <f t="shared" si="93"/>
        <v>0.24874792782899399</v>
      </c>
      <c r="AW75" s="2">
        <f t="shared" si="94"/>
        <v>0.33454637289998401</v>
      </c>
      <c r="AX75" s="2">
        <f t="shared" si="95"/>
        <v>-0.11521398525963999</v>
      </c>
      <c r="AY75" s="7">
        <f t="shared" si="96"/>
        <v>4.3379871045945197</v>
      </c>
      <c r="AZ75" s="2">
        <f t="shared" si="97"/>
        <v>-9.9135653157467099E-2</v>
      </c>
      <c r="BA75" s="1">
        <f t="shared" si="98"/>
        <v>4.49715771782689</v>
      </c>
      <c r="BB75" s="2">
        <f t="shared" si="99"/>
        <v>-4.3267727559767301E-2</v>
      </c>
      <c r="BC75" s="1">
        <f t="shared" si="100"/>
        <v>0.433831364315934</v>
      </c>
      <c r="BD75" s="1">
        <f t="shared" si="101"/>
        <v>-0.18011922317644999</v>
      </c>
      <c r="BE75" s="2">
        <f t="shared" si="102"/>
        <v>-0.17356365625632</v>
      </c>
      <c r="BF75" s="1">
        <f t="shared" si="103"/>
        <v>-3.59033542677503</v>
      </c>
    </row>
    <row r="76" spans="1:58" customFormat="1" x14ac:dyDescent="0.15">
      <c r="A76" s="6">
        <v>144.5</v>
      </c>
      <c r="B76">
        <v>0.16347102744100001</v>
      </c>
      <c r="C76">
        <v>0.203725221624</v>
      </c>
      <c r="D76" s="4">
        <v>0.163591248227</v>
      </c>
      <c r="E76" s="4">
        <v>0.26886307319154001</v>
      </c>
      <c r="F76">
        <v>0.20907419466999999</v>
      </c>
      <c r="G76" s="1">
        <f t="shared" si="52"/>
        <v>1.0262558214606901</v>
      </c>
      <c r="H76" s="1">
        <f t="shared" si="53"/>
        <v>5.3489730459999902E-3</v>
      </c>
      <c r="I76" s="1">
        <f t="shared" si="54"/>
        <v>1.29578018642119E-2</v>
      </c>
      <c r="J76" s="1">
        <f t="shared" si="55"/>
        <v>-0.78070494238840804</v>
      </c>
      <c r="K76" s="1">
        <f t="shared" si="56"/>
        <v>2.62558214606936E-2</v>
      </c>
      <c r="L76" s="1">
        <f t="shared" si="57"/>
        <v>1.84449920647798E-2</v>
      </c>
      <c r="M76" s="1">
        <f t="shared" si="58"/>
        <v>8.7899481811409708E-3</v>
      </c>
      <c r="N76" s="1">
        <f t="shared" si="59"/>
        <v>7.5841609169116104E-3</v>
      </c>
      <c r="O76" s="1">
        <f t="shared" si="60"/>
        <v>1.08324285201004E-2</v>
      </c>
      <c r="P76" s="1">
        <f t="shared" si="61"/>
        <v>8.32531878711428E-3</v>
      </c>
      <c r="Q76" s="2">
        <f t="shared" si="62"/>
        <v>0.122047663151775</v>
      </c>
      <c r="R76" s="1">
        <f t="shared" si="63"/>
        <v>1.27802799315944</v>
      </c>
      <c r="S76" s="2">
        <f t="shared" si="64"/>
        <v>9.9049447598728593E-2</v>
      </c>
      <c r="T76" s="1">
        <f t="shared" si="65"/>
        <v>-0.73405890180474698</v>
      </c>
      <c r="U76" s="1">
        <f t="shared" si="66"/>
        <v>7.8179352946547806E-2</v>
      </c>
      <c r="V76" s="2">
        <f t="shared" si="67"/>
        <v>6.73419135270696E-2</v>
      </c>
      <c r="W76" s="2">
        <f t="shared" si="68"/>
        <v>4.5482946443000001E-2</v>
      </c>
      <c r="X76" s="1">
        <f t="shared" si="69"/>
        <v>7.4505619429848902E-2</v>
      </c>
      <c r="Y76" s="2">
        <f t="shared" si="70"/>
        <v>0.78869998297944399</v>
      </c>
      <c r="Z76" s="1">
        <f t="shared" si="71"/>
        <v>0.13049900183920399</v>
      </c>
      <c r="AA76" s="1">
        <f t="shared" si="72"/>
        <v>2.4664341803187502</v>
      </c>
      <c r="AB76" s="1">
        <f t="shared" si="73"/>
        <v>0.18633272144849999</v>
      </c>
      <c r="AC76" s="2">
        <f t="shared" si="74"/>
        <v>0.77762331653872796</v>
      </c>
      <c r="AD76" s="2">
        <f t="shared" si="75"/>
        <v>-5.9788878521540002E-2</v>
      </c>
      <c r="AE76" s="1">
        <f t="shared" si="76"/>
        <v>-0.125097753496095</v>
      </c>
      <c r="AF76" s="2">
        <f t="shared" si="77"/>
        <v>-8.6483838878113894E-2</v>
      </c>
      <c r="AG76" s="5">
        <f t="shared" si="78"/>
        <v>-9.1706616292904899E-2</v>
      </c>
      <c r="AH76" s="1">
        <f t="shared" si="79"/>
        <v>-25.1513041024747</v>
      </c>
      <c r="AI76" s="1">
        <f t="shared" si="80"/>
        <v>-0.22237668346127201</v>
      </c>
      <c r="AJ76" s="1">
        <f t="shared" si="81"/>
        <v>-0.166789758471308</v>
      </c>
      <c r="AK76" s="2">
        <f t="shared" si="82"/>
        <v>-0.102769415830868</v>
      </c>
      <c r="AL76" s="2">
        <f t="shared" si="83"/>
        <v>-0.108717741663651</v>
      </c>
      <c r="AM76" s="1">
        <f t="shared" si="84"/>
        <v>1.27802799315944</v>
      </c>
      <c r="AN76" s="1">
        <f t="shared" si="85"/>
        <v>0.10527182496454</v>
      </c>
      <c r="AO76" s="1">
        <f t="shared" si="86"/>
        <v>0.243428773284602</v>
      </c>
      <c r="AP76" s="1">
        <f t="shared" si="87"/>
        <v>1.64350523701894</v>
      </c>
      <c r="AQ76" s="1">
        <f t="shared" si="88"/>
        <v>6.5137851567539998E-2</v>
      </c>
      <c r="AR76" s="1">
        <f t="shared" si="89"/>
        <v>0.13783213059257901</v>
      </c>
      <c r="AS76" s="1">
        <f t="shared" si="90"/>
        <v>-0.56794758276185897</v>
      </c>
      <c r="AT76" s="1">
        <f t="shared" si="91"/>
        <v>0.298865237219895</v>
      </c>
      <c r="AU76" s="2">
        <f t="shared" si="92"/>
        <v>0.39442257325095698</v>
      </c>
      <c r="AV76" s="2">
        <f t="shared" si="93"/>
        <v>0.25500230172842703</v>
      </c>
      <c r="AW76" s="2">
        <f t="shared" si="94"/>
        <v>0.32590007992901898</v>
      </c>
      <c r="AX76" s="2">
        <f t="shared" si="95"/>
        <v>-0.12492673008907999</v>
      </c>
      <c r="AY76" s="7">
        <f t="shared" si="96"/>
        <v>8.5031175240287595</v>
      </c>
      <c r="AZ76" s="2">
        <f t="shared" si="97"/>
        <v>-0.11548376771088099</v>
      </c>
      <c r="BA76" s="1">
        <f t="shared" si="98"/>
        <v>4.9322914833033504</v>
      </c>
      <c r="BB76" s="2">
        <f t="shared" si="99"/>
        <v>-4.7325123240072403E-2</v>
      </c>
      <c r="BC76" s="1">
        <f t="shared" si="100"/>
        <v>0.42677991231389301</v>
      </c>
      <c r="BD76" s="1">
        <f t="shared" si="101"/>
        <v>-0.20058779535999499</v>
      </c>
      <c r="BE76" s="2">
        <f t="shared" si="102"/>
        <v>-0.18771103351637999</v>
      </c>
      <c r="BF76" s="1">
        <f t="shared" si="103"/>
        <v>-9.6542418850840406</v>
      </c>
    </row>
    <row r="77" spans="1:58" customFormat="1" x14ac:dyDescent="0.15">
      <c r="A77" s="6">
        <v>192</v>
      </c>
      <c r="B77">
        <v>0.124845404216</v>
      </c>
      <c r="C77">
        <v>0.169447552197</v>
      </c>
      <c r="D77" s="4">
        <v>0.118456280515</v>
      </c>
      <c r="E77" s="4">
        <v>0.2228254061253</v>
      </c>
      <c r="F77">
        <v>0.24964485412500001</v>
      </c>
      <c r="G77" s="1">
        <f t="shared" si="52"/>
        <v>1.47328687188566</v>
      </c>
      <c r="H77" s="1">
        <f t="shared" si="53"/>
        <v>8.0197301927999995E-2</v>
      </c>
      <c r="I77" s="1">
        <f t="shared" si="54"/>
        <v>0.19135947279937701</v>
      </c>
      <c r="J77" s="1">
        <f t="shared" si="55"/>
        <v>-0.699532185186169</v>
      </c>
      <c r="K77" s="1">
        <f t="shared" si="56"/>
        <v>0.47328687188565899</v>
      </c>
      <c r="L77" s="1">
        <f t="shared" si="57"/>
        <v>0.30094505526242799</v>
      </c>
      <c r="M77" s="1">
        <f t="shared" si="58"/>
        <v>0.13088559111634601</v>
      </c>
      <c r="N77" s="1">
        <f t="shared" si="59"/>
        <v>0.115947131657819</v>
      </c>
      <c r="O77" s="1">
        <f t="shared" si="60"/>
        <v>0.16064598537448599</v>
      </c>
      <c r="P77" s="1">
        <f t="shared" si="61"/>
        <v>0.123881045430181</v>
      </c>
      <c r="Q77" s="2">
        <f t="shared" si="62"/>
        <v>0.35639274445133501</v>
      </c>
      <c r="R77" s="1">
        <f t="shared" si="63"/>
        <v>2.1074851670139001</v>
      </c>
      <c r="S77" s="2">
        <f t="shared" si="64"/>
        <v>0.28816212540678998</v>
      </c>
      <c r="T77" s="1">
        <f t="shared" si="65"/>
        <v>-0.59629885972180996</v>
      </c>
      <c r="U77" s="1">
        <f t="shared" si="66"/>
        <v>0.22668195278492001</v>
      </c>
      <c r="V77" s="2">
        <f t="shared" si="67"/>
        <v>0.20229646406973301</v>
      </c>
      <c r="W77" s="2">
        <f t="shared" si="68"/>
        <v>0.13118857361</v>
      </c>
      <c r="X77" s="1">
        <f t="shared" si="69"/>
        <v>0.21622824928654399</v>
      </c>
      <c r="Y77" s="2">
        <f t="shared" si="70"/>
        <v>0.925414903949215</v>
      </c>
      <c r="Z77" s="1">
        <f t="shared" si="71"/>
        <v>0.45171800533502299</v>
      </c>
      <c r="AA77" s="1">
        <f t="shared" si="72"/>
        <v>2.7097382066595701</v>
      </c>
      <c r="AB77" s="1">
        <f t="shared" si="73"/>
        <v>0.18405056732</v>
      </c>
      <c r="AC77" s="2">
        <f t="shared" si="74"/>
        <v>1.12036081731461</v>
      </c>
      <c r="AD77" s="2">
        <f t="shared" si="75"/>
        <v>2.68194479997E-2</v>
      </c>
      <c r="AE77" s="1">
        <f t="shared" si="76"/>
        <v>5.67643093249761E-2</v>
      </c>
      <c r="AF77" s="2">
        <f t="shared" si="77"/>
        <v>3.9017783665657897E-2</v>
      </c>
      <c r="AG77" s="5">
        <f t="shared" si="78"/>
        <v>4.1368022904058402E-2</v>
      </c>
      <c r="AH77" s="1">
        <f t="shared" si="79"/>
        <v>11.365079174176801</v>
      </c>
      <c r="AI77" s="1">
        <f t="shared" si="80"/>
        <v>0.120360817314606</v>
      </c>
      <c r="AJ77" s="1">
        <f t="shared" si="81"/>
        <v>8.2657115027402306E-2</v>
      </c>
      <c r="AK77" s="2">
        <f t="shared" si="82"/>
        <v>4.6341572881635498E-2</v>
      </c>
      <c r="AL77" s="2">
        <f t="shared" si="83"/>
        <v>4.9188968454168903E-2</v>
      </c>
      <c r="AM77" s="1">
        <f t="shared" si="84"/>
        <v>2.1074851670139001</v>
      </c>
      <c r="AN77" s="1">
        <f t="shared" si="85"/>
        <v>0.1043691256103</v>
      </c>
      <c r="AO77" s="1">
        <f t="shared" si="86"/>
        <v>0.30581519517717798</v>
      </c>
      <c r="AP77" s="1">
        <f t="shared" si="87"/>
        <v>1.88107718017606</v>
      </c>
      <c r="AQ77" s="1">
        <f t="shared" si="88"/>
        <v>5.3377853928300002E-2</v>
      </c>
      <c r="AR77" s="1">
        <f t="shared" si="89"/>
        <v>0.13607324388759801</v>
      </c>
      <c r="AS77" s="1">
        <f t="shared" si="90"/>
        <v>0.256967257729457</v>
      </c>
      <c r="AT77" s="1">
        <f t="shared" si="91"/>
        <v>0.26397079020285202</v>
      </c>
      <c r="AU77" s="2">
        <f t="shared" si="92"/>
        <v>0.347124510030002</v>
      </c>
      <c r="AV77" s="2">
        <f t="shared" si="93"/>
        <v>0.20045855507114099</v>
      </c>
      <c r="AW77" s="2">
        <f t="shared" si="94"/>
        <v>0.42246343141346898</v>
      </c>
      <c r="AX77" s="2">
        <f t="shared" si="95"/>
        <v>-2.6558405928599999E-2</v>
      </c>
      <c r="AY77" s="7">
        <f t="shared" si="96"/>
        <v>1.63582278276368</v>
      </c>
      <c r="AZ77" s="2">
        <f t="shared" si="97"/>
        <v>5.0958842101489397E-2</v>
      </c>
      <c r="BA77" s="1">
        <f t="shared" si="98"/>
        <v>2.73789351058018</v>
      </c>
      <c r="BB77" s="2">
        <f t="shared" si="99"/>
        <v>1.2077475733974399E-2</v>
      </c>
      <c r="BC77" s="1">
        <f t="shared" si="100"/>
        <v>0.58034993445060701</v>
      </c>
      <c r="BD77" s="1">
        <f t="shared" si="101"/>
        <v>-7.7287785321221202E-3</v>
      </c>
      <c r="BE77" s="2">
        <f t="shared" si="102"/>
        <v>-4.464944700858E-2</v>
      </c>
      <c r="BF77" s="1">
        <f t="shared" si="103"/>
        <v>0.296637049081383</v>
      </c>
    </row>
    <row r="78" spans="1:58" customFormat="1" x14ac:dyDescent="0.15">
      <c r="A78" s="6">
        <v>201</v>
      </c>
      <c r="B78">
        <v>9.3430452048000004E-2</v>
      </c>
      <c r="C78">
        <v>0.137032514055</v>
      </c>
      <c r="D78" s="4">
        <v>8.1427961972900004E-2</v>
      </c>
      <c r="E78" s="4">
        <v>0.18505652121235799</v>
      </c>
      <c r="F78">
        <v>0.26845985382900001</v>
      </c>
      <c r="G78" s="1">
        <f t="shared" si="52"/>
        <v>1.95909602681047</v>
      </c>
      <c r="H78" s="1">
        <f t="shared" si="53"/>
        <v>0.13142733977400001</v>
      </c>
      <c r="I78" s="1">
        <f t="shared" si="54"/>
        <v>0.32411791240321902</v>
      </c>
      <c r="J78" s="1">
        <f t="shared" si="55"/>
        <v>-0.61931319453173395</v>
      </c>
      <c r="K78" s="1">
        <f t="shared" si="56"/>
        <v>0.95909602681046702</v>
      </c>
      <c r="L78" s="1">
        <f t="shared" si="57"/>
        <v>0.55754838534788198</v>
      </c>
      <c r="M78" s="1">
        <f t="shared" si="58"/>
        <v>0.21771692026702399</v>
      </c>
      <c r="N78" s="1">
        <f t="shared" si="59"/>
        <v>0.196030061278955</v>
      </c>
      <c r="O78" s="1">
        <f t="shared" si="60"/>
        <v>0.26959818168423699</v>
      </c>
      <c r="P78" s="1">
        <f t="shared" si="61"/>
        <v>0.206392720317984</v>
      </c>
      <c r="Q78" s="2">
        <f t="shared" si="62"/>
        <v>0.53454817061133097</v>
      </c>
      <c r="R78" s="1">
        <f t="shared" si="63"/>
        <v>3.2969000736914702</v>
      </c>
      <c r="S78" s="2">
        <f t="shared" si="64"/>
        <v>0.42549946837201402</v>
      </c>
      <c r="T78" s="1">
        <f t="shared" si="65"/>
        <v>-0.43304661939112898</v>
      </c>
      <c r="U78" s="1">
        <f t="shared" si="66"/>
        <v>0.33009984678912302</v>
      </c>
      <c r="V78" s="2">
        <f t="shared" si="67"/>
        <v>0.303199965987067</v>
      </c>
      <c r="W78" s="2">
        <f t="shared" si="68"/>
        <v>0.1870318918561</v>
      </c>
      <c r="X78" s="1">
        <f t="shared" si="69"/>
        <v>0.31619227637254899</v>
      </c>
      <c r="Y78" s="2">
        <f t="shared" si="70"/>
        <v>1.01712741119848</v>
      </c>
      <c r="Z78" s="1">
        <f t="shared" si="71"/>
        <v>0.81573678535504301</v>
      </c>
      <c r="AA78" s="1">
        <f t="shared" si="72"/>
        <v>2.9251424769783001</v>
      </c>
      <c r="AB78" s="1">
        <f t="shared" si="73"/>
        <v>0.17494390790094999</v>
      </c>
      <c r="AC78" s="2">
        <f t="shared" si="74"/>
        <v>1.4506911297707501</v>
      </c>
      <c r="AD78" s="2">
        <f t="shared" si="75"/>
        <v>8.3403332616641998E-2</v>
      </c>
      <c r="AE78" s="1">
        <f t="shared" si="76"/>
        <v>0.18390368508532001</v>
      </c>
      <c r="AF78" s="2">
        <f t="shared" si="77"/>
        <v>0.123847406983744</v>
      </c>
      <c r="AG78" s="5">
        <f t="shared" si="78"/>
        <v>0.131203828481222</v>
      </c>
      <c r="AH78" s="1">
        <f t="shared" si="79"/>
        <v>37.204008409634397</v>
      </c>
      <c r="AI78" s="1">
        <f t="shared" si="80"/>
        <v>0.45069112977074799</v>
      </c>
      <c r="AJ78" s="1">
        <f t="shared" si="81"/>
        <v>0.28789539697624</v>
      </c>
      <c r="AK78" s="2">
        <f t="shared" si="82"/>
        <v>0.14720177957478101</v>
      </c>
      <c r="AL78" s="2">
        <f t="shared" si="83"/>
        <v>0.15769402378018499</v>
      </c>
      <c r="AM78" s="1">
        <f t="shared" si="84"/>
        <v>3.2969000736914702</v>
      </c>
      <c r="AN78" s="1">
        <f t="shared" si="85"/>
        <v>0.103628559239458</v>
      </c>
      <c r="AO78" s="1">
        <f t="shared" si="86"/>
        <v>0.38887277037971602</v>
      </c>
      <c r="AP78" s="1">
        <f t="shared" si="87"/>
        <v>2.2726409543928701</v>
      </c>
      <c r="AQ78" s="1">
        <f t="shared" si="88"/>
        <v>4.8024007157358002E-2</v>
      </c>
      <c r="AR78" s="1">
        <f t="shared" si="89"/>
        <v>0.14910165171408099</v>
      </c>
      <c r="AS78" s="1">
        <f t="shared" si="90"/>
        <v>0.80482960709623597</v>
      </c>
      <c r="AT78" s="1">
        <f t="shared" si="91"/>
        <v>0.23204262438743001</v>
      </c>
      <c r="AU78" s="2">
        <f t="shared" si="92"/>
        <v>0.313363592124484</v>
      </c>
      <c r="AV78" s="2">
        <f t="shared" si="93"/>
        <v>0.15221763525413201</v>
      </c>
      <c r="AW78" s="2">
        <f t="shared" si="94"/>
        <v>0.50184633288649005</v>
      </c>
      <c r="AX78" s="2">
        <f t="shared" si="95"/>
        <v>3.5379325459284003E-2</v>
      </c>
      <c r="AY78" s="7">
        <f t="shared" si="96"/>
        <v>1.4230820784908</v>
      </c>
      <c r="AZ78" s="2">
        <f t="shared" si="97"/>
        <v>0.15432999555441301</v>
      </c>
      <c r="BA78" s="1">
        <f t="shared" si="98"/>
        <v>1.9920071196978899</v>
      </c>
      <c r="BB78" s="2">
        <f t="shared" si="99"/>
        <v>8.2860379616380195E-2</v>
      </c>
      <c r="BC78" s="1">
        <f t="shared" si="100"/>
        <v>0.65918518118924196</v>
      </c>
      <c r="BD78" s="1">
        <f t="shared" si="101"/>
        <v>8.7414693949994293E-2</v>
      </c>
      <c r="BE78" s="2">
        <f t="shared" si="102"/>
        <v>4.5183347802485903E-2</v>
      </c>
      <c r="BF78" s="1">
        <f t="shared" si="103"/>
        <v>0.56739747495514903</v>
      </c>
    </row>
    <row r="79" spans="1:58" customFormat="1" x14ac:dyDescent="0.15">
      <c r="A79" s="6">
        <v>195.5</v>
      </c>
      <c r="B79">
        <v>0.119521411078</v>
      </c>
      <c r="C79">
        <v>0.162421587812</v>
      </c>
      <c r="D79" s="4">
        <v>0.10837270194199999</v>
      </c>
      <c r="E79" s="4">
        <v>0.21254015598084</v>
      </c>
      <c r="F79">
        <v>0.25896094035900002</v>
      </c>
      <c r="G79" s="1">
        <f t="shared" si="52"/>
        <v>1.5943751310862799</v>
      </c>
      <c r="H79" s="1">
        <f t="shared" si="53"/>
        <v>9.6539352546999996E-2</v>
      </c>
      <c r="I79" s="1">
        <f t="shared" si="54"/>
        <v>0.22910146029553399</v>
      </c>
      <c r="J79" s="1">
        <f t="shared" si="55"/>
        <v>-0.67880299128435495</v>
      </c>
      <c r="K79" s="1">
        <f t="shared" si="56"/>
        <v>0.59437513108628504</v>
      </c>
      <c r="L79" s="1">
        <f t="shared" si="57"/>
        <v>0.36901519006027</v>
      </c>
      <c r="M79" s="1">
        <f t="shared" si="58"/>
        <v>0.157164938983545</v>
      </c>
      <c r="N79" s="1">
        <f t="shared" si="59"/>
        <v>0.14013705273295099</v>
      </c>
      <c r="O79" s="1">
        <f t="shared" si="60"/>
        <v>0.19261956376092201</v>
      </c>
      <c r="P79" s="1">
        <f t="shared" si="61"/>
        <v>0.148718884626341</v>
      </c>
      <c r="Q79" s="2">
        <f t="shared" si="62"/>
        <v>0.40994948753864802</v>
      </c>
      <c r="R79" s="1">
        <f t="shared" si="63"/>
        <v>2.3895403152132699</v>
      </c>
      <c r="S79" s="2">
        <f t="shared" si="64"/>
        <v>0.33125585502472499</v>
      </c>
      <c r="T79" s="1">
        <f t="shared" si="65"/>
        <v>-0.55430971332257595</v>
      </c>
      <c r="U79" s="1">
        <f t="shared" si="66"/>
        <v>0.26043306359735302</v>
      </c>
      <c r="V79" s="2">
        <f t="shared" si="67"/>
        <v>0.23470410239060699</v>
      </c>
      <c r="W79" s="2">
        <f t="shared" si="68"/>
        <v>0.150588238417</v>
      </c>
      <c r="X79" s="1">
        <f t="shared" si="69"/>
        <v>0.24846241399534999</v>
      </c>
      <c r="Y79" s="2">
        <f t="shared" si="70"/>
        <v>0.95391272532588001</v>
      </c>
      <c r="Z79" s="1">
        <f t="shared" si="71"/>
        <v>0.54581380353950304</v>
      </c>
      <c r="AA79" s="1">
        <f t="shared" si="72"/>
        <v>2.7709773581957098</v>
      </c>
      <c r="AB79" s="1">
        <f t="shared" si="73"/>
        <v>0.18366682115050001</v>
      </c>
      <c r="AC79" s="2">
        <f t="shared" si="74"/>
        <v>1.2184094773241101</v>
      </c>
      <c r="AD79" s="2">
        <f t="shared" si="75"/>
        <v>4.6420784378160003E-2</v>
      </c>
      <c r="AE79" s="1">
        <f t="shared" si="76"/>
        <v>9.8453184390268497E-2</v>
      </c>
      <c r="AF79" s="2">
        <f t="shared" si="77"/>
        <v>6.7603801993111903E-2</v>
      </c>
      <c r="AG79" s="5">
        <f t="shared" si="78"/>
        <v>7.1673801326192596E-2</v>
      </c>
      <c r="AH79" s="1">
        <f t="shared" si="79"/>
        <v>19.754630106832501</v>
      </c>
      <c r="AI79" s="1">
        <f t="shared" si="80"/>
        <v>0.21840947732411001</v>
      </c>
      <c r="AJ79" s="1">
        <f t="shared" si="81"/>
        <v>0.14663938264863499</v>
      </c>
      <c r="AK79" s="2">
        <f t="shared" si="82"/>
        <v>8.0281881355958304E-2</v>
      </c>
      <c r="AL79" s="2">
        <f t="shared" si="83"/>
        <v>8.5270018042355802E-2</v>
      </c>
      <c r="AM79" s="1">
        <f t="shared" si="84"/>
        <v>2.3895403152132699</v>
      </c>
      <c r="AN79" s="1">
        <f t="shared" si="85"/>
        <v>0.10416745403883999</v>
      </c>
      <c r="AO79" s="1">
        <f t="shared" si="86"/>
        <v>0.32459732125749202</v>
      </c>
      <c r="AP79" s="1">
        <f t="shared" si="87"/>
        <v>1.96119642836431</v>
      </c>
      <c r="AQ79" s="1">
        <f t="shared" si="88"/>
        <v>5.011856816884E-2</v>
      </c>
      <c r="AR79" s="1">
        <f t="shared" si="89"/>
        <v>0.13366315097075501</v>
      </c>
      <c r="AS79" s="1">
        <f t="shared" si="90"/>
        <v>0.445636161567811</v>
      </c>
      <c r="AT79" s="1">
        <f t="shared" si="91"/>
        <v>0.256216715180831</v>
      </c>
      <c r="AU79" s="2">
        <f t="shared" si="92"/>
        <v>0.33527772596623401</v>
      </c>
      <c r="AV79" s="2">
        <f t="shared" si="93"/>
        <v>0.18689015137967499</v>
      </c>
      <c r="AW79" s="2">
        <f t="shared" si="94"/>
        <v>0.446581551238043</v>
      </c>
      <c r="AX79" s="2">
        <f t="shared" si="95"/>
        <v>-3.6977837906799799E-3</v>
      </c>
      <c r="AY79" s="7">
        <f t="shared" si="96"/>
        <v>1.55986376999666</v>
      </c>
      <c r="AZ79" s="2">
        <f t="shared" si="97"/>
        <v>8.8182702499737295E-2</v>
      </c>
      <c r="BA79" s="1">
        <f t="shared" si="98"/>
        <v>2.5314961387016401</v>
      </c>
      <c r="BB79" s="2">
        <f t="shared" si="99"/>
        <v>3.3034631215569502E-2</v>
      </c>
      <c r="BC79" s="1">
        <f t="shared" si="100"/>
        <v>0.61454265827516896</v>
      </c>
      <c r="BD79" s="1">
        <f t="shared" si="101"/>
        <v>2.9175471017990801E-2</v>
      </c>
      <c r="BE79" s="2">
        <f t="shared" si="102"/>
        <v>-1.1339036838839999E-2</v>
      </c>
      <c r="BF79" s="1">
        <f t="shared" si="103"/>
        <v>0.42973617131583097</v>
      </c>
    </row>
    <row r="80" spans="1:58" customFormat="1" x14ac:dyDescent="0.15">
      <c r="A80" s="6">
        <v>176</v>
      </c>
      <c r="B80">
        <v>9.7455405421099997E-2</v>
      </c>
      <c r="C80">
        <v>0.13357431312500001</v>
      </c>
      <c r="D80" s="4">
        <v>8.7010840883200005E-2</v>
      </c>
      <c r="E80" s="4">
        <v>0.19075105770086401</v>
      </c>
      <c r="F80">
        <v>0.22553840351099999</v>
      </c>
      <c r="G80" s="1">
        <f t="shared" si="52"/>
        <v>1.6884863431784201</v>
      </c>
      <c r="H80" s="1">
        <f t="shared" si="53"/>
        <v>9.1964090385999994E-2</v>
      </c>
      <c r="I80" s="1">
        <f t="shared" si="54"/>
        <v>0.25608697805935898</v>
      </c>
      <c r="J80" s="1">
        <f t="shared" si="55"/>
        <v>-0.66303797160993805</v>
      </c>
      <c r="K80" s="1">
        <f t="shared" si="56"/>
        <v>0.68848634317841595</v>
      </c>
      <c r="L80" s="1">
        <f t="shared" si="57"/>
        <v>0.41989568592651599</v>
      </c>
      <c r="M80" s="1">
        <f t="shared" si="58"/>
        <v>0.160568145375791</v>
      </c>
      <c r="N80" s="1">
        <f t="shared" si="59"/>
        <v>0.14032237998012401</v>
      </c>
      <c r="O80" s="1">
        <f t="shared" si="60"/>
        <v>0.20550131296930299</v>
      </c>
      <c r="P80" s="1">
        <f t="shared" si="61"/>
        <v>0.15346271858965799</v>
      </c>
      <c r="Q80" s="2">
        <f t="shared" si="62"/>
        <v>0.44321835714657298</v>
      </c>
      <c r="R80" s="1">
        <f t="shared" si="63"/>
        <v>2.5920724500726799</v>
      </c>
      <c r="S80" s="2">
        <f t="shared" si="64"/>
        <v>0.34005339031755799</v>
      </c>
      <c r="T80" s="1">
        <f t="shared" si="65"/>
        <v>-0.52549635199643896</v>
      </c>
      <c r="U80" s="1">
        <f t="shared" si="66"/>
        <v>0.25572769327552503</v>
      </c>
      <c r="V80" s="2">
        <f t="shared" si="67"/>
        <v>0.22618797574139199</v>
      </c>
      <c r="W80" s="2">
        <f t="shared" si="68"/>
        <v>0.1385275626278</v>
      </c>
      <c r="X80" s="1">
        <f t="shared" si="69"/>
        <v>0.24778611488017699</v>
      </c>
      <c r="Y80" s="2">
        <f t="shared" si="70"/>
        <v>0.97119429423085701</v>
      </c>
      <c r="Z80" s="1">
        <f t="shared" si="71"/>
        <v>0.60999144409921502</v>
      </c>
      <c r="AA80" s="1">
        <f t="shared" si="72"/>
        <v>2.83748085254379</v>
      </c>
      <c r="AB80" s="1">
        <f t="shared" si="73"/>
        <v>0.1562746221971</v>
      </c>
      <c r="AC80" s="2">
        <f t="shared" si="74"/>
        <v>1.1823703953699101</v>
      </c>
      <c r="AD80" s="2">
        <f t="shared" si="75"/>
        <v>3.4787345810135997E-2</v>
      </c>
      <c r="AE80" s="1">
        <f t="shared" si="76"/>
        <v>8.3565281015921505E-2</v>
      </c>
      <c r="AF80" s="2">
        <f t="shared" si="77"/>
        <v>5.3916735142458802E-2</v>
      </c>
      <c r="AG80" s="5">
        <f t="shared" si="78"/>
        <v>5.6948181687248099E-2</v>
      </c>
      <c r="AH80" s="1">
        <f t="shared" si="79"/>
        <v>16.7521233153015</v>
      </c>
      <c r="AI80" s="1">
        <f t="shared" si="80"/>
        <v>0.18237039536991501</v>
      </c>
      <c r="AJ80" s="1">
        <f t="shared" si="81"/>
        <v>0.12344971987846599</v>
      </c>
      <c r="AK80" s="2">
        <f t="shared" si="82"/>
        <v>6.4218900054614794E-2</v>
      </c>
      <c r="AL80" s="2">
        <f t="shared" si="83"/>
        <v>7.0022660235534703E-2</v>
      </c>
      <c r="AM80" s="1">
        <f t="shared" si="84"/>
        <v>2.5920724500726799</v>
      </c>
      <c r="AN80" s="1">
        <f t="shared" si="85"/>
        <v>0.103740216817664</v>
      </c>
      <c r="AO80" s="1">
        <f t="shared" si="86"/>
        <v>0.37348613091463001</v>
      </c>
      <c r="AP80" s="1">
        <f t="shared" si="87"/>
        <v>2.19226771933995</v>
      </c>
      <c r="AQ80" s="1">
        <f t="shared" si="88"/>
        <v>5.7176744575863997E-2</v>
      </c>
      <c r="AR80" s="1">
        <f t="shared" si="89"/>
        <v>0.176294393590822</v>
      </c>
      <c r="AS80" s="1">
        <f t="shared" si="90"/>
        <v>0.33533133896643902</v>
      </c>
      <c r="AT80" s="1">
        <f t="shared" si="91"/>
        <v>0.242922555293065</v>
      </c>
      <c r="AU80" s="2">
        <f t="shared" si="92"/>
        <v>0.346906027644592</v>
      </c>
      <c r="AV80" s="2">
        <f t="shared" si="93"/>
        <v>0.17288056558083501</v>
      </c>
      <c r="AW80" s="2">
        <f t="shared" si="94"/>
        <v>0.44811895119506601</v>
      </c>
      <c r="AX80" s="2">
        <f t="shared" si="95"/>
        <v>-2.23893987657281E-2</v>
      </c>
      <c r="AY80" s="7">
        <f t="shared" si="96"/>
        <v>1.50632232696871</v>
      </c>
      <c r="AZ80" s="2">
        <f t="shared" si="97"/>
        <v>6.3562335340390297E-2</v>
      </c>
      <c r="BA80" s="1">
        <f t="shared" si="98"/>
        <v>2.0245023580385801</v>
      </c>
      <c r="BB80" s="2">
        <f t="shared" si="99"/>
        <v>1.9384404237494501E-2</v>
      </c>
      <c r="BC80" s="1">
        <f t="shared" si="100"/>
        <v>0.53066812594007196</v>
      </c>
      <c r="BD80" s="1">
        <f t="shared" si="101"/>
        <v>6.0875040340903899E-3</v>
      </c>
      <c r="BE80" s="2">
        <f t="shared" si="102"/>
        <v>-3.9101943571752097E-2</v>
      </c>
      <c r="BF80" s="1">
        <f t="shared" si="103"/>
        <v>0.32631601047887598</v>
      </c>
    </row>
    <row r="81" spans="1:58" customFormat="1" x14ac:dyDescent="0.15">
      <c r="A81" s="6">
        <v>184</v>
      </c>
      <c r="B81">
        <v>8.8189778911700004E-2</v>
      </c>
      <c r="C81">
        <v>0.12313375309000001</v>
      </c>
      <c r="D81" s="4">
        <v>7.5709511379899994E-2</v>
      </c>
      <c r="E81" s="4">
        <v>0.17922370160749801</v>
      </c>
      <c r="F81">
        <v>0.224541635249</v>
      </c>
      <c r="G81" s="1">
        <f t="shared" si="52"/>
        <v>1.82355876933987</v>
      </c>
      <c r="H81" s="1">
        <f t="shared" si="53"/>
        <v>0.101407882159</v>
      </c>
      <c r="I81" s="1">
        <f t="shared" si="54"/>
        <v>0.29167403146788901</v>
      </c>
      <c r="J81" s="1">
        <f t="shared" si="55"/>
        <v>-0.64092189797705401</v>
      </c>
      <c r="K81" s="1">
        <f t="shared" si="56"/>
        <v>0.82355876933987104</v>
      </c>
      <c r="L81" s="1">
        <f t="shared" si="57"/>
        <v>0.490112952699777</v>
      </c>
      <c r="M81" s="1">
        <f t="shared" si="58"/>
        <v>0.17944584133386199</v>
      </c>
      <c r="N81" s="1">
        <f t="shared" si="59"/>
        <v>0.15696360810974</v>
      </c>
      <c r="O81" s="1">
        <f t="shared" si="60"/>
        <v>0.231709367848832</v>
      </c>
      <c r="P81" s="1">
        <f t="shared" si="61"/>
        <v>0.171982690442777</v>
      </c>
      <c r="Q81" s="2">
        <f t="shared" si="62"/>
        <v>0.49569210822382398</v>
      </c>
      <c r="R81" s="1">
        <f t="shared" si="63"/>
        <v>2.9658312562906501</v>
      </c>
      <c r="S81" s="2">
        <f t="shared" si="64"/>
        <v>0.375110990928958</v>
      </c>
      <c r="T81" s="1">
        <f t="shared" si="65"/>
        <v>-0.47503530322690002</v>
      </c>
      <c r="U81" s="1">
        <f t="shared" si="66"/>
        <v>0.27897265345272498</v>
      </c>
      <c r="V81" s="2">
        <f t="shared" si="67"/>
        <v>0.24778558287934699</v>
      </c>
      <c r="W81" s="2">
        <f t="shared" si="68"/>
        <v>0.1488321238691</v>
      </c>
      <c r="X81" s="1">
        <f t="shared" si="69"/>
        <v>0.27161537005866099</v>
      </c>
      <c r="Y81" s="2">
        <f t="shared" si="70"/>
        <v>0.99784372936037602</v>
      </c>
      <c r="Z81" s="1">
        <f t="shared" si="71"/>
        <v>0.72215889403116595</v>
      </c>
      <c r="AA81" s="1">
        <f t="shared" si="72"/>
        <v>2.89724161095074</v>
      </c>
      <c r="AB81" s="1">
        <f t="shared" si="73"/>
        <v>0.15012557331445001</v>
      </c>
      <c r="AC81" s="2">
        <f t="shared" si="74"/>
        <v>1.25285681098557</v>
      </c>
      <c r="AD81" s="2">
        <f t="shared" si="75"/>
        <v>4.5317933641502002E-2</v>
      </c>
      <c r="AE81" s="1">
        <f t="shared" si="76"/>
        <v>0.112238296616355</v>
      </c>
      <c r="AF81" s="2">
        <f t="shared" si="77"/>
        <v>7.1319055504789106E-2</v>
      </c>
      <c r="AG81" s="5">
        <f t="shared" si="78"/>
        <v>7.5215210951431494E-2</v>
      </c>
      <c r="AH81" s="1">
        <f t="shared" si="79"/>
        <v>22.542639243695501</v>
      </c>
      <c r="AI81" s="1">
        <f t="shared" si="80"/>
        <v>0.252856810985574</v>
      </c>
      <c r="AJ81" s="1">
        <f t="shared" si="81"/>
        <v>0.16846429221904699</v>
      </c>
      <c r="AK81" s="2">
        <f t="shared" si="82"/>
        <v>8.4944458684763302E-2</v>
      </c>
      <c r="AL81" s="2">
        <f t="shared" si="83"/>
        <v>9.3245894324154394E-2</v>
      </c>
      <c r="AM81" s="1">
        <f t="shared" si="84"/>
        <v>2.9658312562906501</v>
      </c>
      <c r="AN81" s="1">
        <f t="shared" si="85"/>
        <v>0.103514190227598</v>
      </c>
      <c r="AO81" s="1">
        <f t="shared" si="86"/>
        <v>0.40604434790815203</v>
      </c>
      <c r="AP81" s="1">
        <f t="shared" si="87"/>
        <v>2.3672547654967402</v>
      </c>
      <c r="AQ81" s="1">
        <f t="shared" si="88"/>
        <v>5.6089948517498003E-2</v>
      </c>
      <c r="AR81" s="1">
        <f t="shared" si="89"/>
        <v>0.18550873360676601</v>
      </c>
      <c r="AS81" s="1">
        <f t="shared" si="90"/>
        <v>0.437794408108308</v>
      </c>
      <c r="AT81" s="1">
        <f t="shared" si="91"/>
        <v>0.23369513335561701</v>
      </c>
      <c r="AU81" s="2">
        <f t="shared" si="92"/>
        <v>0.34014805686169702</v>
      </c>
      <c r="AV81" s="2">
        <f t="shared" si="93"/>
        <v>0.15790090274468899</v>
      </c>
      <c r="AW81" s="2">
        <f t="shared" si="94"/>
        <v>0.468307432756709</v>
      </c>
      <c r="AX81" s="2">
        <f t="shared" si="95"/>
        <v>-1.0772014875996E-2</v>
      </c>
      <c r="AY81" s="7">
        <f t="shared" si="96"/>
        <v>1.4676583387841799</v>
      </c>
      <c r="AZ81" s="2">
        <f t="shared" si="97"/>
        <v>8.2313588365360693E-2</v>
      </c>
      <c r="BA81" s="1">
        <f t="shared" si="98"/>
        <v>1.85136162554785</v>
      </c>
      <c r="BB81" s="2">
        <f t="shared" si="99"/>
        <v>3.1366970652443003E-2</v>
      </c>
      <c r="BC81" s="1">
        <f t="shared" si="100"/>
        <v>0.53492188835502597</v>
      </c>
      <c r="BD81" s="1">
        <f t="shared" si="101"/>
        <v>2.4074596874795701E-2</v>
      </c>
      <c r="BE81" s="2">
        <f t="shared" si="102"/>
        <v>-2.2242495243533899E-2</v>
      </c>
      <c r="BF81" s="1">
        <f t="shared" si="103"/>
        <v>0.38480730029855698</v>
      </c>
    </row>
    <row r="82" spans="1:58" customFormat="1" x14ac:dyDescent="0.15">
      <c r="A82" s="6">
        <v>180.5</v>
      </c>
      <c r="B82">
        <v>9.9460254079299995E-2</v>
      </c>
      <c r="C82">
        <v>0.14244381662300001</v>
      </c>
      <c r="D82" s="4">
        <v>9.0382356561999999E-2</v>
      </c>
      <c r="E82" s="4">
        <v>0.19419000369323999</v>
      </c>
      <c r="F82">
        <v>0.23591451633999999</v>
      </c>
      <c r="G82" s="1">
        <f t="shared" si="52"/>
        <v>1.6561934517971</v>
      </c>
      <c r="H82" s="1">
        <f t="shared" si="53"/>
        <v>9.3470699717000005E-2</v>
      </c>
      <c r="I82" s="1">
        <f t="shared" si="54"/>
        <v>0.247042794022831</v>
      </c>
      <c r="J82" s="1">
        <f t="shared" si="55"/>
        <v>-0.66841403253207698</v>
      </c>
      <c r="K82" s="1">
        <f t="shared" si="56"/>
        <v>0.65619345179710298</v>
      </c>
      <c r="L82" s="1">
        <f t="shared" si="57"/>
        <v>0.40262620847560598</v>
      </c>
      <c r="M82" s="1">
        <f t="shared" si="58"/>
        <v>0.15962283764365001</v>
      </c>
      <c r="N82" s="1">
        <f t="shared" si="59"/>
        <v>0.14040735775503699</v>
      </c>
      <c r="O82" s="1">
        <f t="shared" si="60"/>
        <v>0.201401195138874</v>
      </c>
      <c r="P82" s="1">
        <f t="shared" si="61"/>
        <v>0.15195809559663701</v>
      </c>
      <c r="Q82" s="2">
        <f t="shared" si="62"/>
        <v>0.44601150628161002</v>
      </c>
      <c r="R82" s="1">
        <f t="shared" si="63"/>
        <v>2.6101832848114399</v>
      </c>
      <c r="S82" s="2">
        <f t="shared" si="64"/>
        <v>0.34714865496677899</v>
      </c>
      <c r="T82" s="1">
        <f t="shared" si="65"/>
        <v>-0.52297175105785398</v>
      </c>
      <c r="U82" s="1">
        <f t="shared" si="66"/>
        <v>0.26418863101868501</v>
      </c>
      <c r="V82" s="2">
        <f t="shared" si="67"/>
        <v>0.23540891616759799</v>
      </c>
      <c r="W82" s="2">
        <f t="shared" si="68"/>
        <v>0.14553215977799999</v>
      </c>
      <c r="X82" s="1">
        <f t="shared" si="69"/>
        <v>0.25477248241323402</v>
      </c>
      <c r="Y82" s="2">
        <f t="shared" si="70"/>
        <v>0.97263122830886395</v>
      </c>
      <c r="Z82" s="1">
        <f t="shared" si="71"/>
        <v>0.61560616636958898</v>
      </c>
      <c r="AA82" s="1">
        <f t="shared" si="72"/>
        <v>2.8326252457934999</v>
      </c>
      <c r="AB82" s="1">
        <f t="shared" si="73"/>
        <v>0.163148436451</v>
      </c>
      <c r="AC82" s="2">
        <f t="shared" si="74"/>
        <v>1.2148643691910701</v>
      </c>
      <c r="AD82" s="2">
        <f t="shared" si="75"/>
        <v>4.1724512646759998E-2</v>
      </c>
      <c r="AE82" s="1">
        <f t="shared" si="76"/>
        <v>9.7010170094318796E-2</v>
      </c>
      <c r="AF82" s="2">
        <f t="shared" si="77"/>
        <v>6.3621553493802302E-2</v>
      </c>
      <c r="AG82" s="5">
        <f t="shared" si="78"/>
        <v>6.7290038508686298E-2</v>
      </c>
      <c r="AH82" s="1">
        <f t="shared" si="79"/>
        <v>19.463244026597199</v>
      </c>
      <c r="AI82" s="1">
        <f t="shared" si="80"/>
        <v>0.21486436919107199</v>
      </c>
      <c r="AJ82" s="1">
        <f t="shared" si="81"/>
        <v>0.14437461342782701</v>
      </c>
      <c r="AK82" s="2">
        <f t="shared" si="82"/>
        <v>7.5743683683966806E-2</v>
      </c>
      <c r="AL82" s="2">
        <f t="shared" si="83"/>
        <v>8.2020104959567505E-2</v>
      </c>
      <c r="AM82" s="1">
        <f t="shared" si="84"/>
        <v>2.6101832848114399</v>
      </c>
      <c r="AN82" s="1">
        <f t="shared" si="85"/>
        <v>0.10380764713123999</v>
      </c>
      <c r="AO82" s="1">
        <f t="shared" si="86"/>
        <v>0.36478471429246501</v>
      </c>
      <c r="AP82" s="1">
        <f t="shared" si="87"/>
        <v>2.1485388418704301</v>
      </c>
      <c r="AQ82" s="1">
        <f t="shared" si="88"/>
        <v>5.174618707024E-2</v>
      </c>
      <c r="AR82" s="1">
        <f t="shared" si="89"/>
        <v>0.153716542864376</v>
      </c>
      <c r="AS82" s="1">
        <f t="shared" si="90"/>
        <v>0.401940645027907</v>
      </c>
      <c r="AT82" s="1">
        <f t="shared" si="91"/>
        <v>0.24878915456272399</v>
      </c>
      <c r="AU82" s="2">
        <f t="shared" si="92"/>
        <v>0.33916787677235399</v>
      </c>
      <c r="AV82" s="2">
        <f t="shared" si="93"/>
        <v>0.17364963580491299</v>
      </c>
      <c r="AW82" s="2">
        <f t="shared" si="94"/>
        <v>0.45325737679157801</v>
      </c>
      <c r="AX82" s="2">
        <f t="shared" si="95"/>
        <v>-1.0021674423480001E-2</v>
      </c>
      <c r="AY82" s="7">
        <f t="shared" si="96"/>
        <v>1.5569816019204501</v>
      </c>
      <c r="AZ82" s="2">
        <f t="shared" si="97"/>
        <v>7.8269117854374695E-2</v>
      </c>
      <c r="BA82" s="1">
        <f t="shared" si="98"/>
        <v>2.2491333695321898</v>
      </c>
      <c r="BB82" s="2">
        <f t="shared" si="99"/>
        <v>2.7978779206502699E-2</v>
      </c>
      <c r="BC82" s="1">
        <f t="shared" si="100"/>
        <v>0.55876983895348398</v>
      </c>
      <c r="BD82" s="1">
        <f t="shared" si="101"/>
        <v>1.9092436648851401E-2</v>
      </c>
      <c r="BE82" s="2">
        <f t="shared" si="102"/>
        <v>-2.0640753618240099E-2</v>
      </c>
      <c r="BF82" s="1">
        <f t="shared" si="103"/>
        <v>0.39268569025880401</v>
      </c>
    </row>
    <row r="83" spans="1:58" customFormat="1" x14ac:dyDescent="0.15">
      <c r="A83" s="6">
        <v>167</v>
      </c>
      <c r="B83">
        <v>0.15299859166900001</v>
      </c>
      <c r="C83">
        <v>0.19317420400400001</v>
      </c>
      <c r="D83" s="4">
        <v>0.15971408478099999</v>
      </c>
      <c r="E83" s="4">
        <v>0.26490836647662003</v>
      </c>
      <c r="F83">
        <v>0.20640801763399999</v>
      </c>
      <c r="G83" s="1">
        <f t="shared" si="52"/>
        <v>1.0685071472054599</v>
      </c>
      <c r="H83" s="1">
        <f t="shared" si="53"/>
        <v>1.3233813630000001E-2</v>
      </c>
      <c r="I83" s="1">
        <f t="shared" si="54"/>
        <v>3.3119125209702401E-2</v>
      </c>
      <c r="J83" s="1">
        <f t="shared" si="55"/>
        <v>-0.77270255767108498</v>
      </c>
      <c r="K83" s="1">
        <f t="shared" si="56"/>
        <v>6.8507147205461902E-2</v>
      </c>
      <c r="L83" s="1">
        <f t="shared" si="57"/>
        <v>4.7632938037215397E-2</v>
      </c>
      <c r="M83" s="1">
        <f t="shared" si="58"/>
        <v>2.20665993252455E-2</v>
      </c>
      <c r="N83" s="1">
        <f t="shared" si="59"/>
        <v>1.8989178702742901E-2</v>
      </c>
      <c r="O83" s="1">
        <f t="shared" si="60"/>
        <v>2.7433365852589299E-2</v>
      </c>
      <c r="P83" s="1">
        <f t="shared" si="61"/>
        <v>2.0935432420034601E-2</v>
      </c>
      <c r="Q83" s="2">
        <f t="shared" si="62"/>
        <v>0.127536503655473</v>
      </c>
      <c r="R83" s="1">
        <f t="shared" si="63"/>
        <v>1.29235951805394</v>
      </c>
      <c r="S83" s="2">
        <f t="shared" si="64"/>
        <v>0.102951314648924</v>
      </c>
      <c r="T83" s="1">
        <f t="shared" si="65"/>
        <v>-0.73147709198560495</v>
      </c>
      <c r="U83" s="1">
        <f t="shared" si="66"/>
        <v>8.0867234636092994E-2</v>
      </c>
      <c r="V83" s="2">
        <f t="shared" si="67"/>
        <v>6.9521511518822798E-2</v>
      </c>
      <c r="W83" s="2">
        <f t="shared" si="68"/>
        <v>4.6693932852999998E-2</v>
      </c>
      <c r="X83" s="1">
        <f t="shared" si="69"/>
        <v>7.7169818828315501E-2</v>
      </c>
      <c r="Y83" s="2">
        <f t="shared" si="70"/>
        <v>0.79217201645568902</v>
      </c>
      <c r="Z83" s="1">
        <f t="shared" si="71"/>
        <v>0.13681991452205999</v>
      </c>
      <c r="AA83" s="1">
        <f t="shared" si="72"/>
        <v>2.4794837922617798</v>
      </c>
      <c r="AB83" s="1">
        <f t="shared" si="73"/>
        <v>0.18306105120749999</v>
      </c>
      <c r="AC83" s="2">
        <f t="shared" si="74"/>
        <v>0.77916760568683996</v>
      </c>
      <c r="AD83" s="2">
        <f t="shared" si="75"/>
        <v>-5.8500348842620002E-2</v>
      </c>
      <c r="AE83" s="1">
        <f t="shared" si="76"/>
        <v>-0.12412118656348201</v>
      </c>
      <c r="AF83" s="2">
        <f t="shared" si="77"/>
        <v>-8.5212280292946196E-2</v>
      </c>
      <c r="AG83" s="5">
        <f t="shared" si="78"/>
        <v>-9.0341854311742395E-2</v>
      </c>
      <c r="AH83" s="1">
        <f t="shared" si="79"/>
        <v>-24.952910132854999</v>
      </c>
      <c r="AI83" s="1">
        <f t="shared" si="80"/>
        <v>-0.22083239431316001</v>
      </c>
      <c r="AJ83" s="1">
        <f t="shared" si="81"/>
        <v>-0.165559592938024</v>
      </c>
      <c r="AK83" s="2">
        <f t="shared" si="82"/>
        <v>-0.101314263911816</v>
      </c>
      <c r="AL83" s="2">
        <f t="shared" si="83"/>
        <v>-0.107490327140866</v>
      </c>
      <c r="AM83" s="1">
        <f t="shared" si="84"/>
        <v>1.29235951805394</v>
      </c>
      <c r="AN83" s="1">
        <f t="shared" si="85"/>
        <v>0.10519428169562001</v>
      </c>
      <c r="AO83" s="1">
        <f t="shared" si="86"/>
        <v>0.24773603323155</v>
      </c>
      <c r="AP83" s="1">
        <f t="shared" si="87"/>
        <v>1.6586412327996101</v>
      </c>
      <c r="AQ83" s="1">
        <f t="shared" si="88"/>
        <v>7.1734162472620003E-2</v>
      </c>
      <c r="AR83" s="1">
        <f t="shared" si="89"/>
        <v>0.15659657689520201</v>
      </c>
      <c r="AS83" s="1">
        <f t="shared" si="90"/>
        <v>-0.55611719477196497</v>
      </c>
      <c r="AT83" s="1">
        <f t="shared" si="91"/>
        <v>0.29071021841272299</v>
      </c>
      <c r="AU83" s="2">
        <f t="shared" si="92"/>
        <v>0.39866383544762102</v>
      </c>
      <c r="AV83" s="2">
        <f t="shared" si="93"/>
        <v>0.25310043279135402</v>
      </c>
      <c r="AW83" s="2">
        <f t="shared" si="94"/>
        <v>0.32709675334147897</v>
      </c>
      <c r="AX83" s="2">
        <f t="shared" si="95"/>
        <v>-0.13023451131524</v>
      </c>
      <c r="AY83" s="7">
        <f t="shared" si="96"/>
        <v>3.5283807191563201</v>
      </c>
      <c r="AZ83" s="2">
        <f t="shared" si="97"/>
        <v>-0.108571091648672</v>
      </c>
      <c r="BA83" s="1">
        <f t="shared" si="98"/>
        <v>3.8584896828591302</v>
      </c>
      <c r="BB83" s="2">
        <f t="shared" si="99"/>
        <v>-4.76438485155877E-2</v>
      </c>
      <c r="BC83" s="1">
        <f t="shared" si="100"/>
        <v>0.42186632639524102</v>
      </c>
      <c r="BD83" s="1">
        <f t="shared" si="101"/>
        <v>-0.197330486444565</v>
      </c>
      <c r="BE83" s="2">
        <f t="shared" si="102"/>
        <v>-0.19614579579065999</v>
      </c>
      <c r="BF83" s="1">
        <f t="shared" si="103"/>
        <v>-3.7477193548312702</v>
      </c>
    </row>
    <row r="84" spans="1:58" customFormat="1" x14ac:dyDescent="0.15">
      <c r="A84" s="6">
        <v>158.5</v>
      </c>
      <c r="B84">
        <v>0.13067826668599999</v>
      </c>
      <c r="C84">
        <v>0.169758018723</v>
      </c>
      <c r="D84" s="4">
        <v>0.13409705012299999</v>
      </c>
      <c r="E84" s="4">
        <v>0.23877899112546</v>
      </c>
      <c r="F84">
        <v>0.20846308765499999</v>
      </c>
      <c r="G84" s="1">
        <f t="shared" si="52"/>
        <v>1.2280014176835801</v>
      </c>
      <c r="H84" s="1">
        <f t="shared" si="53"/>
        <v>3.8705068932E-2</v>
      </c>
      <c r="I84" s="1">
        <f t="shared" si="54"/>
        <v>0.102334502964828</v>
      </c>
      <c r="J84" s="1">
        <f t="shared" si="55"/>
        <v>-0.74313180122618905</v>
      </c>
      <c r="K84" s="1">
        <f t="shared" si="56"/>
        <v>0.22800141768358201</v>
      </c>
      <c r="L84" s="1">
        <f t="shared" si="57"/>
        <v>0.15274950655869701</v>
      </c>
      <c r="M84" s="1">
        <f t="shared" si="58"/>
        <v>6.6108185030355093E-2</v>
      </c>
      <c r="N84" s="1">
        <f t="shared" si="59"/>
        <v>5.6918915165017299E-2</v>
      </c>
      <c r="O84" s="1">
        <f t="shared" si="60"/>
        <v>8.3419025060655294E-2</v>
      </c>
      <c r="P84" s="1">
        <f t="shared" si="61"/>
        <v>6.29353953779241E-2</v>
      </c>
      <c r="Q84" s="2">
        <f t="shared" si="62"/>
        <v>0.21708899936335799</v>
      </c>
      <c r="R84" s="1">
        <f t="shared" si="63"/>
        <v>1.5545687803257999</v>
      </c>
      <c r="S84" s="2">
        <f t="shared" si="64"/>
        <v>0.17165031018681101</v>
      </c>
      <c r="T84" s="1">
        <f t="shared" si="65"/>
        <v>-0.68556145429912296</v>
      </c>
      <c r="U84" s="1">
        <f t="shared" si="66"/>
        <v>0.132392990478018</v>
      </c>
      <c r="V84" s="2">
        <f t="shared" si="67"/>
        <v>0.11416697332674999</v>
      </c>
      <c r="W84" s="2">
        <f t="shared" si="68"/>
        <v>7.4366037531999996E-2</v>
      </c>
      <c r="X84" s="1">
        <f t="shared" si="69"/>
        <v>0.12705923293661001</v>
      </c>
      <c r="Y84" s="2">
        <f t="shared" si="70"/>
        <v>0.84681107654739496</v>
      </c>
      <c r="Z84" s="1">
        <f t="shared" si="71"/>
        <v>0.246823476008453</v>
      </c>
      <c r="AA84" s="1">
        <f t="shared" si="72"/>
        <v>2.5903442674597299</v>
      </c>
      <c r="AB84" s="1">
        <f t="shared" si="73"/>
        <v>0.17128006888899999</v>
      </c>
      <c r="AC84" s="2">
        <f t="shared" si="74"/>
        <v>0.87303781070700903</v>
      </c>
      <c r="AD84" s="2">
        <f t="shared" si="75"/>
        <v>-3.0315903470459999E-2</v>
      </c>
      <c r="AE84" s="1">
        <f t="shared" si="76"/>
        <v>-6.7784103752324507E-2</v>
      </c>
      <c r="AF84" s="2">
        <f t="shared" si="77"/>
        <v>-4.5331405738043402E-2</v>
      </c>
      <c r="AG84" s="5">
        <f t="shared" si="78"/>
        <v>-4.8006582714564303E-2</v>
      </c>
      <c r="AH84" s="1">
        <f t="shared" si="79"/>
        <v>-13.577641284675201</v>
      </c>
      <c r="AI84" s="1">
        <f t="shared" si="80"/>
        <v>-0.126962189292991</v>
      </c>
      <c r="AJ84" s="1">
        <f t="shared" si="81"/>
        <v>-9.2768627302867598E-2</v>
      </c>
      <c r="AK84" s="2">
        <f t="shared" si="82"/>
        <v>-5.3971049859555101E-2</v>
      </c>
      <c r="AL84" s="2">
        <f t="shared" si="83"/>
        <v>-5.79117443513784E-2</v>
      </c>
      <c r="AM84" s="1">
        <f t="shared" si="84"/>
        <v>1.5545687803257999</v>
      </c>
      <c r="AN84" s="1">
        <f t="shared" si="85"/>
        <v>0.10468194100246</v>
      </c>
      <c r="AO84" s="1">
        <f t="shared" si="86"/>
        <v>0.28074193410755199</v>
      </c>
      <c r="AP84" s="1">
        <f t="shared" si="87"/>
        <v>1.78064313052704</v>
      </c>
      <c r="AQ84" s="1">
        <f t="shared" si="88"/>
        <v>6.9020972402459996E-2</v>
      </c>
      <c r="AR84" s="1">
        <f t="shared" si="89"/>
        <v>0.16894668227992901</v>
      </c>
      <c r="AS84" s="1">
        <f t="shared" si="90"/>
        <v>-0.289600127587886</v>
      </c>
      <c r="AT84" s="1">
        <f t="shared" si="91"/>
        <v>0.27513450874624501</v>
      </c>
      <c r="AU84" s="2">
        <f t="shared" si="92"/>
        <v>0.386999924459689</v>
      </c>
      <c r="AV84" s="2">
        <f t="shared" si="93"/>
        <v>0.230669231530893</v>
      </c>
      <c r="AW84" s="2">
        <f t="shared" si="94"/>
        <v>0.35859118591967098</v>
      </c>
      <c r="AX84" s="2">
        <f t="shared" si="95"/>
        <v>-9.9336875872920005E-2</v>
      </c>
      <c r="AY84" s="7">
        <f t="shared" si="96"/>
        <v>1.9213513781011999</v>
      </c>
      <c r="AZ84" s="2">
        <f t="shared" si="97"/>
        <v>-5.5403818664522902E-2</v>
      </c>
      <c r="BA84" s="1">
        <f t="shared" si="98"/>
        <v>2.8702450228868801</v>
      </c>
      <c r="BB84" s="2">
        <f t="shared" si="99"/>
        <v>-3.3225127724186898E-2</v>
      </c>
      <c r="BC84" s="1">
        <f t="shared" si="100"/>
        <v>0.44755198908594301</v>
      </c>
      <c r="BD84" s="1">
        <f t="shared" si="101"/>
        <v>-0.129902327970116</v>
      </c>
      <c r="BE84" s="2">
        <f t="shared" si="102"/>
        <v>-0.1513276179453</v>
      </c>
      <c r="BF84" s="1">
        <f t="shared" si="103"/>
        <v>-0.66237780795810097</v>
      </c>
    </row>
    <row r="85" spans="1:58" customFormat="1" x14ac:dyDescent="0.15">
      <c r="A85" s="6">
        <v>184.5</v>
      </c>
      <c r="B85">
        <v>0.122287083995</v>
      </c>
      <c r="C85">
        <v>0.161997275528</v>
      </c>
      <c r="D85" s="4">
        <v>0.12160763762100001</v>
      </c>
      <c r="E85" s="4">
        <v>0.22603979037342001</v>
      </c>
      <c r="F85">
        <v>0.20869991963699999</v>
      </c>
      <c r="G85" s="1">
        <f t="shared" si="52"/>
        <v>1.2882927750283499</v>
      </c>
      <c r="H85" s="1">
        <f t="shared" si="53"/>
        <v>4.6702644108999998E-2</v>
      </c>
      <c r="I85" s="1">
        <f t="shared" si="54"/>
        <v>0.12598596568342599</v>
      </c>
      <c r="J85" s="1">
        <f t="shared" si="55"/>
        <v>-0.73220893006666299</v>
      </c>
      <c r="K85" s="1">
        <f t="shared" si="56"/>
        <v>0.28829277502835399</v>
      </c>
      <c r="L85" s="1">
        <f t="shared" si="57"/>
        <v>0.19058028140786701</v>
      </c>
      <c r="M85" s="1">
        <f t="shared" si="58"/>
        <v>8.0457323800410901E-2</v>
      </c>
      <c r="N85" s="1">
        <f t="shared" si="59"/>
        <v>6.9285900494871502E-2</v>
      </c>
      <c r="O85" s="1">
        <f t="shared" si="60"/>
        <v>0.102082821729624</v>
      </c>
      <c r="P85" s="1">
        <f t="shared" si="61"/>
        <v>7.6706438569664595E-2</v>
      </c>
      <c r="Q85" s="2">
        <f t="shared" si="62"/>
        <v>0.26367026761053802</v>
      </c>
      <c r="R85" s="1">
        <f t="shared" si="63"/>
        <v>1.7161744419987</v>
      </c>
      <c r="S85" s="2">
        <f t="shared" si="64"/>
        <v>0.20604831731239201</v>
      </c>
      <c r="T85" s="1">
        <f t="shared" si="65"/>
        <v>-0.65845601986371904</v>
      </c>
      <c r="U85" s="1">
        <f t="shared" si="66"/>
        <v>0.15733738887722401</v>
      </c>
      <c r="V85" s="2">
        <f t="shared" si="67"/>
        <v>0.135925084242244</v>
      </c>
      <c r="W85" s="2">
        <f t="shared" si="68"/>
        <v>8.7092282016E-2</v>
      </c>
      <c r="X85" s="1">
        <f t="shared" si="69"/>
        <v>0.151537603603763</v>
      </c>
      <c r="Y85" s="2">
        <f t="shared" si="70"/>
        <v>0.87388229619928703</v>
      </c>
      <c r="Z85" s="1">
        <f t="shared" si="71"/>
        <v>0.31002841266848202</v>
      </c>
      <c r="AA85" s="1">
        <f t="shared" si="72"/>
        <v>2.6471929384281498</v>
      </c>
      <c r="AB85" s="1">
        <f t="shared" si="73"/>
        <v>0.16515377862899999</v>
      </c>
      <c r="AC85" s="2">
        <f t="shared" si="74"/>
        <v>0.92328841436379705</v>
      </c>
      <c r="AD85" s="2">
        <f t="shared" si="75"/>
        <v>-1.7339870736420002E-2</v>
      </c>
      <c r="AE85" s="1">
        <f t="shared" si="76"/>
        <v>-3.9885638089063501E-2</v>
      </c>
      <c r="AF85" s="2">
        <f t="shared" si="77"/>
        <v>-2.6298513431446902E-2</v>
      </c>
      <c r="AG85" s="5">
        <f t="shared" si="78"/>
        <v>-2.7825720707147499E-2</v>
      </c>
      <c r="AH85" s="1">
        <f t="shared" si="79"/>
        <v>-7.9813618355718097</v>
      </c>
      <c r="AI85" s="1">
        <f t="shared" si="80"/>
        <v>-7.67115856362032E-2</v>
      </c>
      <c r="AJ85" s="1">
        <f t="shared" si="81"/>
        <v>-5.5314469552946097E-2</v>
      </c>
      <c r="AK85" s="2">
        <f t="shared" si="82"/>
        <v>-3.1325508093078901E-2</v>
      </c>
      <c r="AL85" s="2">
        <f t="shared" si="83"/>
        <v>-3.3820257359130801E-2</v>
      </c>
      <c r="AM85" s="1">
        <f t="shared" si="84"/>
        <v>1.7161744419987</v>
      </c>
      <c r="AN85" s="1">
        <f t="shared" si="85"/>
        <v>0.10443215275242</v>
      </c>
      <c r="AO85" s="1">
        <f t="shared" si="86"/>
        <v>0.30039673629944502</v>
      </c>
      <c r="AP85" s="1">
        <f t="shared" si="87"/>
        <v>1.85876310728025</v>
      </c>
      <c r="AQ85" s="1">
        <f t="shared" si="88"/>
        <v>6.4042514845420007E-2</v>
      </c>
      <c r="AR85" s="1">
        <f t="shared" si="89"/>
        <v>0.16504226135368699</v>
      </c>
      <c r="AS85" s="1">
        <f t="shared" si="90"/>
        <v>-0.16603957956825899</v>
      </c>
      <c r="AT85" s="1">
        <f t="shared" si="91"/>
        <v>0.27147182000430897</v>
      </c>
      <c r="AU85" s="2">
        <f t="shared" si="92"/>
        <v>0.37879299566034202</v>
      </c>
      <c r="AV85" s="2">
        <f t="shared" si="93"/>
        <v>0.218582218714135</v>
      </c>
      <c r="AW85" s="2">
        <f t="shared" si="94"/>
        <v>0.37512521723256897</v>
      </c>
      <c r="AX85" s="2">
        <f t="shared" si="95"/>
        <v>-8.1382385581839994E-2</v>
      </c>
      <c r="AY85" s="7">
        <f t="shared" si="96"/>
        <v>1.86482550779639</v>
      </c>
      <c r="AZ85" s="2">
        <f t="shared" si="97"/>
        <v>-3.21118447130746E-2</v>
      </c>
      <c r="BA85" s="1">
        <f t="shared" si="98"/>
        <v>2.7690120562813201</v>
      </c>
      <c r="BB85" s="2">
        <f t="shared" si="99"/>
        <v>-2.4633703802701499E-2</v>
      </c>
      <c r="BC85" s="1">
        <f t="shared" si="100"/>
        <v>0.45745433101605898</v>
      </c>
      <c r="BD85" s="1">
        <f t="shared" si="101"/>
        <v>-0.100266389188786</v>
      </c>
      <c r="BE85" s="2">
        <f t="shared" si="102"/>
        <v>-0.12487573701930001</v>
      </c>
      <c r="BF85" s="1">
        <f t="shared" si="103"/>
        <v>-0.316587945908888</v>
      </c>
    </row>
    <row r="86" spans="1:58" customFormat="1" x14ac:dyDescent="0.15">
      <c r="A86" s="6">
        <v>202</v>
      </c>
      <c r="B86">
        <v>0.1193641998</v>
      </c>
      <c r="C86">
        <v>0.16695320351500001</v>
      </c>
      <c r="D86" s="4">
        <v>0.109972477722</v>
      </c>
      <c r="E86" s="4">
        <v>0.21417192727643999</v>
      </c>
      <c r="F86">
        <v>0.25149917356899998</v>
      </c>
      <c r="G86" s="1">
        <f t="shared" si="52"/>
        <v>1.5064051978278099</v>
      </c>
      <c r="H86" s="1">
        <f t="shared" si="53"/>
        <v>8.4545970053999997E-2</v>
      </c>
      <c r="I86" s="1">
        <f t="shared" si="54"/>
        <v>0.20204442532543701</v>
      </c>
      <c r="J86" s="1">
        <f t="shared" si="55"/>
        <v>-0.69381194570216997</v>
      </c>
      <c r="K86" s="1">
        <f t="shared" si="56"/>
        <v>0.50640519782780902</v>
      </c>
      <c r="L86" s="1">
        <f t="shared" si="57"/>
        <v>0.31986926575858099</v>
      </c>
      <c r="M86" s="1">
        <f t="shared" si="58"/>
        <v>0.13807896658032301</v>
      </c>
      <c r="N86" s="1">
        <f t="shared" si="59"/>
        <v>0.12248481143814199</v>
      </c>
      <c r="O86" s="1">
        <f t="shared" si="60"/>
        <v>0.169544337871047</v>
      </c>
      <c r="P86" s="1">
        <f t="shared" si="61"/>
        <v>0.13069828588448301</v>
      </c>
      <c r="Q86" s="2">
        <f t="shared" si="62"/>
        <v>0.39152917065981702</v>
      </c>
      <c r="R86" s="1">
        <f t="shared" si="63"/>
        <v>2.2869283185995499</v>
      </c>
      <c r="S86" s="2">
        <f t="shared" si="64"/>
        <v>0.31482241992653698</v>
      </c>
      <c r="T86" s="1">
        <f t="shared" si="65"/>
        <v>-0.56932731159531602</v>
      </c>
      <c r="U86" s="1">
        <f t="shared" si="66"/>
        <v>0.246427196359117</v>
      </c>
      <c r="V86" s="2">
        <f t="shared" si="67"/>
        <v>0.22074723887550299</v>
      </c>
      <c r="W86" s="2">
        <f t="shared" si="68"/>
        <v>0.14152669584700001</v>
      </c>
      <c r="X86" s="1">
        <f t="shared" si="69"/>
        <v>0.23539717468822799</v>
      </c>
      <c r="Y86" s="2">
        <f t="shared" si="70"/>
        <v>0.94420822420683104</v>
      </c>
      <c r="Z86" s="1">
        <f t="shared" si="71"/>
        <v>0.51225934237469695</v>
      </c>
      <c r="AA86" s="1">
        <f t="shared" si="72"/>
        <v>2.7531980964766798</v>
      </c>
      <c r="AB86" s="1">
        <f t="shared" si="73"/>
        <v>0.1807358256455</v>
      </c>
      <c r="AC86" s="2">
        <f t="shared" si="74"/>
        <v>1.1742863631440399</v>
      </c>
      <c r="AD86" s="2">
        <f t="shared" si="75"/>
        <v>3.7327246292559998E-2</v>
      </c>
      <c r="AE86" s="1">
        <f t="shared" si="76"/>
        <v>8.0157961756250701E-2</v>
      </c>
      <c r="AF86" s="2">
        <f t="shared" si="77"/>
        <v>5.4699871853462097E-2</v>
      </c>
      <c r="AG86" s="5">
        <f t="shared" si="78"/>
        <v>5.7981303768767901E-2</v>
      </c>
      <c r="AH86" s="1">
        <f t="shared" si="79"/>
        <v>16.066061256837202</v>
      </c>
      <c r="AI86" s="1">
        <f t="shared" si="80"/>
        <v>0.174286363144037</v>
      </c>
      <c r="AJ86" s="1">
        <f t="shared" si="81"/>
        <v>0.118196614298108</v>
      </c>
      <c r="AK86" s="2">
        <f t="shared" si="82"/>
        <v>6.4994442190793103E-2</v>
      </c>
      <c r="AL86" s="2">
        <f t="shared" si="83"/>
        <v>6.9205059400795105E-2</v>
      </c>
      <c r="AM86" s="1">
        <f t="shared" si="84"/>
        <v>2.2869283185995499</v>
      </c>
      <c r="AN86" s="1">
        <f t="shared" si="85"/>
        <v>0.10419944955443999</v>
      </c>
      <c r="AO86" s="1">
        <f t="shared" si="86"/>
        <v>0.32145996644594699</v>
      </c>
      <c r="AP86" s="1">
        <f t="shared" si="87"/>
        <v>1.9475047913155701</v>
      </c>
      <c r="AQ86" s="1">
        <f t="shared" si="88"/>
        <v>4.7218723761439998E-2</v>
      </c>
      <c r="AR86" s="1">
        <f t="shared" si="89"/>
        <v>0.123892968336636</v>
      </c>
      <c r="AS86" s="1">
        <f t="shared" si="90"/>
        <v>0.35822882416531399</v>
      </c>
      <c r="AT86" s="1">
        <f t="shared" si="91"/>
        <v>0.26390576897576501</v>
      </c>
      <c r="AU86" s="2">
        <f t="shared" si="92"/>
        <v>0.33854520890239898</v>
      </c>
      <c r="AV86" s="2">
        <f t="shared" si="93"/>
        <v>0.191042655241078</v>
      </c>
      <c r="AW86" s="2">
        <f t="shared" si="94"/>
        <v>0.43690085833127301</v>
      </c>
      <c r="AX86" s="2">
        <f t="shared" si="95"/>
        <v>-9.8914774688800607E-3</v>
      </c>
      <c r="AY86" s="7">
        <f t="shared" si="96"/>
        <v>1.6739614644743701</v>
      </c>
      <c r="AZ86" s="2">
        <f t="shared" si="97"/>
        <v>7.2656060843892104E-2</v>
      </c>
      <c r="BA86" s="1">
        <f t="shared" si="98"/>
        <v>2.8173985198382399</v>
      </c>
      <c r="BB86" s="2">
        <f t="shared" si="99"/>
        <v>2.39766403564327E-2</v>
      </c>
      <c r="BC86" s="1">
        <f t="shared" si="100"/>
        <v>0.59155896150211895</v>
      </c>
      <c r="BD86" s="1">
        <f t="shared" si="101"/>
        <v>1.22660175053003E-2</v>
      </c>
      <c r="BE86" s="2">
        <f t="shared" si="102"/>
        <v>-1.9909974406560099E-2</v>
      </c>
      <c r="BF86" s="1">
        <f t="shared" si="103"/>
        <v>0.396734340119202</v>
      </c>
    </row>
    <row r="87" spans="1:58" customFormat="1" x14ac:dyDescent="0.15">
      <c r="A87" s="6">
        <v>226</v>
      </c>
      <c r="B87">
        <v>0.101816765295</v>
      </c>
      <c r="C87">
        <v>0.13888411760800001</v>
      </c>
      <c r="D87" s="4">
        <v>8.5325564712499996E-2</v>
      </c>
      <c r="E87" s="4">
        <v>0.18903207600675001</v>
      </c>
      <c r="F87">
        <v>0.26496649795900001</v>
      </c>
      <c r="G87" s="1">
        <f t="shared" si="52"/>
        <v>1.9078243252181399</v>
      </c>
      <c r="H87" s="1">
        <f t="shared" si="53"/>
        <v>0.126082380351</v>
      </c>
      <c r="I87" s="1">
        <f t="shared" si="54"/>
        <v>0.31220054022694099</v>
      </c>
      <c r="J87" s="1">
        <f t="shared" si="55"/>
        <v>-0.627420182595258</v>
      </c>
      <c r="K87" s="1">
        <f t="shared" si="56"/>
        <v>0.90782432521814405</v>
      </c>
      <c r="L87" s="1">
        <f t="shared" si="57"/>
        <v>0.53237509780629499</v>
      </c>
      <c r="M87" s="1">
        <f t="shared" si="58"/>
        <v>0.20924206640923701</v>
      </c>
      <c r="N87" s="1">
        <f t="shared" si="59"/>
        <v>0.18789719337101801</v>
      </c>
      <c r="O87" s="1">
        <f t="shared" si="60"/>
        <v>0.25938707375549702</v>
      </c>
      <c r="P87" s="1">
        <f t="shared" si="61"/>
        <v>0.198401076757867</v>
      </c>
      <c r="Q87" s="2">
        <f t="shared" si="62"/>
        <v>0.51283186914504897</v>
      </c>
      <c r="R87" s="1">
        <f t="shared" si="63"/>
        <v>3.1053588552480198</v>
      </c>
      <c r="S87" s="2">
        <f t="shared" si="64"/>
        <v>0.40836120686456101</v>
      </c>
      <c r="T87" s="1">
        <f t="shared" si="65"/>
        <v>-0.45704302484021098</v>
      </c>
      <c r="U87" s="1">
        <f t="shared" si="66"/>
        <v>0.31690452222162302</v>
      </c>
      <c r="V87" s="2">
        <f t="shared" si="67"/>
        <v>0.28968565834240401</v>
      </c>
      <c r="W87" s="2">
        <f t="shared" si="68"/>
        <v>0.17964093324649999</v>
      </c>
      <c r="X87" s="1">
        <f t="shared" si="69"/>
        <v>0.303521985318632</v>
      </c>
      <c r="Y87" s="2">
        <f t="shared" si="70"/>
        <v>1.0063954834681299</v>
      </c>
      <c r="Z87" s="1">
        <f t="shared" si="71"/>
        <v>0.76220284168651298</v>
      </c>
      <c r="AA87" s="1">
        <f t="shared" si="72"/>
        <v>2.8987976805149498</v>
      </c>
      <c r="AB87" s="1">
        <f t="shared" si="73"/>
        <v>0.17514603133574999</v>
      </c>
      <c r="AC87" s="2">
        <f t="shared" si="74"/>
        <v>1.40170125386307</v>
      </c>
      <c r="AD87" s="2">
        <f t="shared" si="75"/>
        <v>7.5934421952250003E-2</v>
      </c>
      <c r="AE87" s="1">
        <f t="shared" si="76"/>
        <v>0.16725696137974799</v>
      </c>
      <c r="AF87" s="2">
        <f t="shared" si="77"/>
        <v>0.11269676428301301</v>
      </c>
      <c r="AG87" s="5">
        <f t="shared" si="78"/>
        <v>0.119393923677358</v>
      </c>
      <c r="AH87" s="1">
        <f t="shared" si="79"/>
        <v>33.768668021673598</v>
      </c>
      <c r="AI87" s="1">
        <f t="shared" si="80"/>
        <v>0.40170125386306699</v>
      </c>
      <c r="AJ87" s="1">
        <f t="shared" si="81"/>
        <v>0.25920519112002999</v>
      </c>
      <c r="AK87" s="2">
        <f t="shared" si="82"/>
        <v>0.13395589342620901</v>
      </c>
      <c r="AL87" s="2">
        <f t="shared" si="83"/>
        <v>0.143459501698327</v>
      </c>
      <c r="AM87" s="1">
        <f t="shared" si="84"/>
        <v>3.1053588552480198</v>
      </c>
      <c r="AN87" s="1">
        <f t="shared" si="85"/>
        <v>0.10370651129425</v>
      </c>
      <c r="AO87" s="1">
        <f t="shared" si="86"/>
        <v>0.37799753279105103</v>
      </c>
      <c r="AP87" s="1">
        <f t="shared" si="87"/>
        <v>2.21542132939505</v>
      </c>
      <c r="AQ87" s="1">
        <f t="shared" si="88"/>
        <v>5.0147958398749998E-2</v>
      </c>
      <c r="AR87" s="1">
        <f t="shared" si="89"/>
        <v>0.15292919158992799</v>
      </c>
      <c r="AS87" s="1">
        <f t="shared" si="90"/>
        <v>0.73220495998364699</v>
      </c>
      <c r="AT87" s="1">
        <f t="shared" si="91"/>
        <v>0.23425227213050401</v>
      </c>
      <c r="AU87" s="2">
        <f t="shared" si="92"/>
        <v>0.318835544861299</v>
      </c>
      <c r="AV87" s="2">
        <f t="shared" si="93"/>
        <v>0.15820831776899799</v>
      </c>
      <c r="AW87" s="2">
        <f t="shared" si="94"/>
        <v>0.49129360055785198</v>
      </c>
      <c r="AX87" s="2">
        <f t="shared" si="95"/>
        <v>2.5786463553499998E-2</v>
      </c>
      <c r="AY87" s="7">
        <f t="shared" si="96"/>
        <v>1.4247901470958799</v>
      </c>
      <c r="AZ87" s="2">
        <f t="shared" si="97"/>
        <v>0.13983950594068101</v>
      </c>
      <c r="BA87" s="1">
        <f t="shared" si="98"/>
        <v>2.0070474793248501</v>
      </c>
      <c r="BB87" s="2">
        <f t="shared" si="99"/>
        <v>7.1091408336228706E-2</v>
      </c>
      <c r="BC87" s="1">
        <f t="shared" si="100"/>
        <v>0.64668267728145701</v>
      </c>
      <c r="BD87" s="1">
        <f t="shared" si="101"/>
        <v>7.6721513030699698E-2</v>
      </c>
      <c r="BE87" s="2">
        <f t="shared" si="102"/>
        <v>3.1114752509190002E-2</v>
      </c>
      <c r="BF87" s="1">
        <f t="shared" si="103"/>
        <v>0.53573565650516597</v>
      </c>
    </row>
    <row r="88" spans="1:58" customFormat="1" x14ac:dyDescent="0.15">
      <c r="A88" s="6">
        <v>236</v>
      </c>
      <c r="B88">
        <v>0.104257537934</v>
      </c>
      <c r="C88">
        <v>0.14948960777</v>
      </c>
      <c r="D88" s="4">
        <v>9.2031359104499999E-2</v>
      </c>
      <c r="E88" s="4">
        <v>0.19587198628659</v>
      </c>
      <c r="F88">
        <v>0.26726689275299997</v>
      </c>
      <c r="G88" s="1">
        <f t="shared" si="52"/>
        <v>1.7878626931994399</v>
      </c>
      <c r="H88" s="1">
        <f t="shared" si="53"/>
        <v>0.117777284983</v>
      </c>
      <c r="I88" s="1">
        <f t="shared" si="54"/>
        <v>0.28260455406261897</v>
      </c>
      <c r="J88" s="1">
        <f t="shared" si="55"/>
        <v>-0.64670920541158405</v>
      </c>
      <c r="K88" s="1">
        <f t="shared" si="56"/>
        <v>0.78786269319943902</v>
      </c>
      <c r="L88" s="1">
        <f t="shared" si="57"/>
        <v>0.471861828371613</v>
      </c>
      <c r="M88" s="1">
        <f t="shared" si="58"/>
        <v>0.19270758088294301</v>
      </c>
      <c r="N88" s="1">
        <f t="shared" si="59"/>
        <v>0.173007761776585</v>
      </c>
      <c r="O88" s="1">
        <f t="shared" si="60"/>
        <v>0.236879255728184</v>
      </c>
      <c r="P88" s="1">
        <f t="shared" si="61"/>
        <v>0.182440119220874</v>
      </c>
      <c r="Q88" s="2">
        <f t="shared" si="62"/>
        <v>0.48771607638658798</v>
      </c>
      <c r="R88" s="1">
        <f t="shared" si="63"/>
        <v>2.9040850352924101</v>
      </c>
      <c r="S88" s="2">
        <f t="shared" si="64"/>
        <v>0.39143828870049802</v>
      </c>
      <c r="T88" s="1">
        <f t="shared" si="65"/>
        <v>-0.48314017685762201</v>
      </c>
      <c r="U88" s="1">
        <f t="shared" si="66"/>
        <v>0.30589297709445301</v>
      </c>
      <c r="V88" s="2">
        <f t="shared" si="67"/>
        <v>0.279181431570387</v>
      </c>
      <c r="W88" s="2">
        <f t="shared" si="68"/>
        <v>0.1752355336485</v>
      </c>
      <c r="X88" s="1">
        <f t="shared" si="69"/>
        <v>0.29234429516335098</v>
      </c>
      <c r="Y88" s="2">
        <f t="shared" si="70"/>
        <v>0.99383905959998797</v>
      </c>
      <c r="Z88" s="1">
        <f t="shared" si="71"/>
        <v>0.70413762216917397</v>
      </c>
      <c r="AA88" s="1">
        <f t="shared" si="72"/>
        <v>2.8662101966044302</v>
      </c>
      <c r="AB88" s="1">
        <f t="shared" si="73"/>
        <v>0.17964912592874999</v>
      </c>
      <c r="AC88" s="2">
        <f t="shared" si="74"/>
        <v>1.36449779174623</v>
      </c>
      <c r="AD88" s="2">
        <f t="shared" si="75"/>
        <v>7.1394906466410002E-2</v>
      </c>
      <c r="AE88" s="1">
        <f t="shared" si="76"/>
        <v>0.154154422566426</v>
      </c>
      <c r="AF88" s="2">
        <f t="shared" si="77"/>
        <v>0.104908724997082</v>
      </c>
      <c r="AG88" s="5">
        <f t="shared" si="78"/>
        <v>0.11119098401095</v>
      </c>
      <c r="AH88" s="1">
        <f t="shared" si="79"/>
        <v>31.078644280381098</v>
      </c>
      <c r="AI88" s="1">
        <f t="shared" si="80"/>
        <v>0.36449779174622998</v>
      </c>
      <c r="AJ88" s="1">
        <f t="shared" si="81"/>
        <v>0.23704207772751601</v>
      </c>
      <c r="AK88" s="2">
        <f t="shared" si="82"/>
        <v>0.12462769413078501</v>
      </c>
      <c r="AL88" s="2">
        <f t="shared" si="83"/>
        <v>0.132904709185661</v>
      </c>
      <c r="AM88" s="1">
        <f t="shared" si="84"/>
        <v>2.9040850352924101</v>
      </c>
      <c r="AN88" s="1">
        <f t="shared" si="85"/>
        <v>0.10384062718209</v>
      </c>
      <c r="AO88" s="1">
        <f t="shared" si="86"/>
        <v>0.36067877933489201</v>
      </c>
      <c r="AP88" s="1">
        <f t="shared" si="87"/>
        <v>2.1283178711310899</v>
      </c>
      <c r="AQ88" s="1">
        <f t="shared" si="88"/>
        <v>4.6382378516590002E-2</v>
      </c>
      <c r="AR88" s="1">
        <f t="shared" si="89"/>
        <v>0.13430091624197801</v>
      </c>
      <c r="AS88" s="1">
        <f t="shared" si="90"/>
        <v>0.68754309757023402</v>
      </c>
      <c r="AT88" s="1">
        <f t="shared" si="91"/>
        <v>0.24401347797015299</v>
      </c>
      <c r="AU88" s="2">
        <f t="shared" si="92"/>
        <v>0.319723928129168</v>
      </c>
      <c r="AV88" s="2">
        <f t="shared" si="93"/>
        <v>0.165771420694591</v>
      </c>
      <c r="AW88" s="2">
        <f t="shared" si="94"/>
        <v>0.48141430211832298</v>
      </c>
      <c r="AX88" s="2">
        <f t="shared" si="95"/>
        <v>2.501252794982E-2</v>
      </c>
      <c r="AY88" s="7">
        <f t="shared" si="96"/>
        <v>1.4878550959448</v>
      </c>
      <c r="AZ88" s="2">
        <f t="shared" si="97"/>
        <v>0.135081853045946</v>
      </c>
      <c r="BA88" s="1">
        <f t="shared" si="98"/>
        <v>2.25618226859569</v>
      </c>
      <c r="BB88" s="2">
        <f t="shared" si="99"/>
        <v>6.5276823159911096E-2</v>
      </c>
      <c r="BC88" s="1">
        <f t="shared" si="100"/>
        <v>0.64931603854062403</v>
      </c>
      <c r="BD88" s="1">
        <f t="shared" si="101"/>
        <v>7.0719620179919604E-2</v>
      </c>
      <c r="BE88" s="2">
        <f t="shared" si="102"/>
        <v>3.0452154825749998E-2</v>
      </c>
      <c r="BF88" s="1">
        <f t="shared" si="103"/>
        <v>0.54547748912874605</v>
      </c>
    </row>
    <row r="89" spans="1:58" customFormat="1" x14ac:dyDescent="0.15">
      <c r="A89" s="6">
        <v>232</v>
      </c>
      <c r="B89">
        <v>9.7220138683000001E-2</v>
      </c>
      <c r="C89">
        <v>0.14067672750400001</v>
      </c>
      <c r="D89" s="4">
        <v>8.5088855162699997E-2</v>
      </c>
      <c r="E89" s="4">
        <v>0.18879063226595399</v>
      </c>
      <c r="F89">
        <v>0.263040885226</v>
      </c>
      <c r="G89" s="1">
        <f t="shared" si="52"/>
        <v>1.86982516506521</v>
      </c>
      <c r="H89" s="1">
        <f t="shared" si="53"/>
        <v>0.122364157722</v>
      </c>
      <c r="I89" s="1">
        <f t="shared" si="54"/>
        <v>0.30309343428084501</v>
      </c>
      <c r="J89" s="1">
        <f t="shared" si="55"/>
        <v>-0.63348110972524996</v>
      </c>
      <c r="K89" s="1">
        <f t="shared" si="56"/>
        <v>0.86982516506520702</v>
      </c>
      <c r="L89" s="1">
        <f t="shared" si="57"/>
        <v>0.51345720026455599</v>
      </c>
      <c r="M89" s="1">
        <f t="shared" si="58"/>
        <v>0.20310131616062399</v>
      </c>
      <c r="N89" s="1">
        <f t="shared" si="59"/>
        <v>0.18209073496999301</v>
      </c>
      <c r="O89" s="1">
        <f t="shared" si="60"/>
        <v>0.25179703410385601</v>
      </c>
      <c r="P89" s="1">
        <f t="shared" si="61"/>
        <v>0.192581859989055</v>
      </c>
      <c r="Q89" s="2">
        <f t="shared" si="62"/>
        <v>0.51116583680730598</v>
      </c>
      <c r="R89" s="1">
        <f t="shared" si="63"/>
        <v>3.0913670741371999</v>
      </c>
      <c r="S89" s="2">
        <f t="shared" si="64"/>
        <v>0.40624340294571498</v>
      </c>
      <c r="T89" s="1">
        <f t="shared" si="65"/>
        <v>-0.45882745912255601</v>
      </c>
      <c r="U89" s="1">
        <f t="shared" si="66"/>
        <v>0.31472548642453702</v>
      </c>
      <c r="V89" s="2">
        <f t="shared" si="67"/>
        <v>0.287302162396044</v>
      </c>
      <c r="W89" s="2">
        <f t="shared" si="68"/>
        <v>0.17795203006329999</v>
      </c>
      <c r="X89" s="1">
        <f t="shared" si="69"/>
        <v>0.301600726721382</v>
      </c>
      <c r="Y89" s="2">
        <f t="shared" si="70"/>
        <v>1.00556742031915</v>
      </c>
      <c r="Z89" s="1">
        <f t="shared" si="71"/>
        <v>0.758228390777831</v>
      </c>
      <c r="AA89" s="1">
        <f t="shared" si="72"/>
        <v>2.8973248473177402</v>
      </c>
      <c r="AB89" s="1">
        <f t="shared" si="73"/>
        <v>0.17406487019434999</v>
      </c>
      <c r="AC89" s="2">
        <f t="shared" si="74"/>
        <v>1.3932941590843799</v>
      </c>
      <c r="AD89" s="2">
        <f t="shared" si="75"/>
        <v>7.4250252960046004E-2</v>
      </c>
      <c r="AE89" s="1">
        <f t="shared" si="76"/>
        <v>0.16433172562241199</v>
      </c>
      <c r="AF89" s="2">
        <f t="shared" si="77"/>
        <v>0.110461179591859</v>
      </c>
      <c r="AG89" s="5">
        <f t="shared" si="78"/>
        <v>0.117011653211001</v>
      </c>
      <c r="AH89" s="1">
        <f t="shared" si="79"/>
        <v>33.167084198362502</v>
      </c>
      <c r="AI89" s="1">
        <f t="shared" si="80"/>
        <v>0.39329415908437598</v>
      </c>
      <c r="AJ89" s="1">
        <f t="shared" si="81"/>
        <v>0.25422570255493598</v>
      </c>
      <c r="AK89" s="2">
        <f t="shared" si="82"/>
        <v>0.13131879963203</v>
      </c>
      <c r="AL89" s="2">
        <f t="shared" si="83"/>
        <v>0.140774528560938</v>
      </c>
      <c r="AM89" s="1">
        <f t="shared" si="84"/>
        <v>3.0913670741371999</v>
      </c>
      <c r="AN89" s="1">
        <f t="shared" si="85"/>
        <v>0.103701777103254</v>
      </c>
      <c r="AO89" s="1">
        <f t="shared" si="86"/>
        <v>0.37864017519847498</v>
      </c>
      <c r="AP89" s="1">
        <f t="shared" si="87"/>
        <v>2.21874688412441</v>
      </c>
      <c r="AQ89" s="1">
        <f t="shared" si="88"/>
        <v>4.8113904761953999E-2</v>
      </c>
      <c r="AR89" s="1">
        <f t="shared" si="89"/>
        <v>0.14603542152263199</v>
      </c>
      <c r="AS89" s="1">
        <f t="shared" si="90"/>
        <v>0.71599788387537799</v>
      </c>
      <c r="AT89" s="1">
        <f t="shared" si="91"/>
        <v>0.237425772032861</v>
      </c>
      <c r="AU89" s="2">
        <f t="shared" si="92"/>
        <v>0.31862954458505999</v>
      </c>
      <c r="AV89" s="2">
        <f t="shared" si="93"/>
        <v>0.15847574332484701</v>
      </c>
      <c r="AW89" s="2">
        <f t="shared" si="94"/>
        <v>0.48990669496384898</v>
      </c>
      <c r="AX89" s="2">
        <f t="shared" si="95"/>
        <v>2.6136348198092001E-2</v>
      </c>
      <c r="AY89" s="7">
        <f t="shared" si="96"/>
        <v>1.4542823109001499</v>
      </c>
      <c r="AZ89" s="2">
        <f t="shared" si="97"/>
        <v>0.13845331208224601</v>
      </c>
      <c r="BA89" s="1">
        <f t="shared" si="98"/>
        <v>2.0859206327589299</v>
      </c>
      <c r="BB89" s="2">
        <f t="shared" si="99"/>
        <v>6.9354590512701E-2</v>
      </c>
      <c r="BC89" s="1">
        <f t="shared" si="100"/>
        <v>0.64120929869670695</v>
      </c>
      <c r="BD89" s="1">
        <f t="shared" si="101"/>
        <v>7.3987044429496093E-2</v>
      </c>
      <c r="BE89" s="2">
        <f t="shared" si="102"/>
        <v>3.1862672833817898E-2</v>
      </c>
      <c r="BF89" s="1">
        <f t="shared" si="103"/>
        <v>0.54218174013675002</v>
      </c>
    </row>
    <row r="90" spans="1:58" customFormat="1" x14ac:dyDescent="0.15">
      <c r="A90" s="6">
        <v>225</v>
      </c>
      <c r="B90">
        <v>0.10504227960199999</v>
      </c>
      <c r="C90">
        <v>0.14733190668599999</v>
      </c>
      <c r="D90" s="4">
        <v>9.2118171731700005E-2</v>
      </c>
      <c r="E90" s="4">
        <v>0.19596053516633399</v>
      </c>
      <c r="F90">
        <v>0.26208861519900001</v>
      </c>
      <c r="G90" s="1">
        <f t="shared" si="52"/>
        <v>1.7788992289197401</v>
      </c>
      <c r="H90" s="1">
        <f t="shared" si="53"/>
        <v>0.114756708513</v>
      </c>
      <c r="I90" s="1">
        <f t="shared" si="54"/>
        <v>0.28029056282927001</v>
      </c>
      <c r="J90" s="1">
        <f t="shared" si="55"/>
        <v>-0.64816884541203901</v>
      </c>
      <c r="K90" s="1">
        <f t="shared" si="56"/>
        <v>0.77889922891973695</v>
      </c>
      <c r="L90" s="1">
        <f t="shared" si="57"/>
        <v>0.46724522818451297</v>
      </c>
      <c r="M90" s="1">
        <f t="shared" si="58"/>
        <v>0.18927994104719301</v>
      </c>
      <c r="N90" s="1">
        <f t="shared" si="59"/>
        <v>0.16941194078880401</v>
      </c>
      <c r="O90" s="1">
        <f t="shared" si="60"/>
        <v>0.23377763315310299</v>
      </c>
      <c r="P90" s="1">
        <f t="shared" si="61"/>
        <v>0.179346654324922</v>
      </c>
      <c r="Q90" s="2">
        <f t="shared" si="62"/>
        <v>0.479862187114315</v>
      </c>
      <c r="R90" s="1">
        <f t="shared" si="63"/>
        <v>2.8451347901513899</v>
      </c>
      <c r="S90" s="2">
        <f t="shared" si="64"/>
        <v>0.38343662400675399</v>
      </c>
      <c r="T90" s="1">
        <f t="shared" si="65"/>
        <v>-0.49096159532376799</v>
      </c>
      <c r="U90" s="1">
        <f t="shared" si="66"/>
        <v>0.29847066202441003</v>
      </c>
      <c r="V90" s="2">
        <f t="shared" si="67"/>
        <v>0.27133595806780397</v>
      </c>
      <c r="W90" s="2">
        <f t="shared" si="68"/>
        <v>0.1699704434673</v>
      </c>
      <c r="X90" s="1">
        <f t="shared" si="69"/>
        <v>0.28559129669338401</v>
      </c>
      <c r="Y90" s="2">
        <f t="shared" si="70"/>
        <v>0.98987988519532799</v>
      </c>
      <c r="Z90" s="1">
        <f t="shared" si="71"/>
        <v>0.68675273533241699</v>
      </c>
      <c r="AA90" s="1">
        <f t="shared" si="72"/>
        <v>2.8584194775552798</v>
      </c>
      <c r="AB90" s="1">
        <f t="shared" si="73"/>
        <v>0.17710339346535001</v>
      </c>
      <c r="AC90" s="2">
        <f t="shared" si="74"/>
        <v>1.3374561106221501</v>
      </c>
      <c r="AD90" s="2">
        <f t="shared" si="75"/>
        <v>6.6128080032666001E-2</v>
      </c>
      <c r="AE90" s="1">
        <f t="shared" si="76"/>
        <v>0.144368961234669</v>
      </c>
      <c r="AF90" s="2">
        <f t="shared" si="77"/>
        <v>9.7707943498771099E-2</v>
      </c>
      <c r="AG90" s="5">
        <f t="shared" si="78"/>
        <v>0.103535523215248</v>
      </c>
      <c r="AH90" s="1">
        <f t="shared" si="79"/>
        <v>29.076938476150499</v>
      </c>
      <c r="AI90" s="1">
        <f t="shared" si="80"/>
        <v>0.33745611062214897</v>
      </c>
      <c r="AJ90" s="1">
        <f t="shared" si="81"/>
        <v>0.220721970254008</v>
      </c>
      <c r="AK90" s="2">
        <f t="shared" si="82"/>
        <v>0.116121905803877</v>
      </c>
      <c r="AL90" s="2">
        <f t="shared" si="83"/>
        <v>0.124114033313612</v>
      </c>
      <c r="AM90" s="1">
        <f t="shared" si="84"/>
        <v>2.8451347901513899</v>
      </c>
      <c r="AN90" s="1">
        <f t="shared" si="85"/>
        <v>0.103842363434634</v>
      </c>
      <c r="AO90" s="1">
        <f t="shared" si="86"/>
        <v>0.36046525115578598</v>
      </c>
      <c r="AP90" s="1">
        <f t="shared" si="87"/>
        <v>2.1272733868088598</v>
      </c>
      <c r="AQ90" s="1">
        <f t="shared" si="88"/>
        <v>4.8628628480334002E-2</v>
      </c>
      <c r="AR90" s="1">
        <f t="shared" si="89"/>
        <v>0.14165365313009601</v>
      </c>
      <c r="AS90" s="1">
        <f t="shared" si="90"/>
        <v>0.63681216264200102</v>
      </c>
      <c r="AT90" s="1">
        <f t="shared" si="91"/>
        <v>0.243370526662361</v>
      </c>
      <c r="AU90" s="2">
        <f t="shared" si="92"/>
        <v>0.32369783111617501</v>
      </c>
      <c r="AV90" s="2">
        <f t="shared" si="93"/>
        <v>0.16743664705599001</v>
      </c>
      <c r="AW90" s="2">
        <f t="shared" si="94"/>
        <v>0.47637982968529502</v>
      </c>
      <c r="AX90" s="2">
        <f t="shared" si="95"/>
        <v>1.7499451552331999E-2</v>
      </c>
      <c r="AY90" s="7">
        <f t="shared" si="96"/>
        <v>1.4811373179812399</v>
      </c>
      <c r="AZ90" s="2">
        <f t="shared" si="97"/>
        <v>0.124033947125328</v>
      </c>
      <c r="BA90" s="1">
        <f t="shared" si="98"/>
        <v>2.2082268828039702</v>
      </c>
      <c r="BB90" s="2">
        <f t="shared" si="99"/>
        <v>5.77469925162803E-2</v>
      </c>
      <c r="BC90" s="1">
        <f t="shared" si="100"/>
        <v>0.63412528146444802</v>
      </c>
      <c r="BD90" s="1">
        <f t="shared" si="101"/>
        <v>6.1987435153699803E-2</v>
      </c>
      <c r="BE90" s="2">
        <f t="shared" si="102"/>
        <v>1.9363774817717901E-2</v>
      </c>
      <c r="BF90" s="1">
        <f t="shared" si="103"/>
        <v>0.51506893338612603</v>
      </c>
    </row>
    <row r="91" spans="1:58" customFormat="1" x14ac:dyDescent="0.15">
      <c r="A91" s="6">
        <v>229</v>
      </c>
      <c r="B91">
        <v>0.103891342342</v>
      </c>
      <c r="C91">
        <v>0.14597022877599999</v>
      </c>
      <c r="D91" s="4">
        <v>9.0698883212099998E-2</v>
      </c>
      <c r="E91" s="4">
        <v>0.19451286087634201</v>
      </c>
      <c r="F91">
        <v>0.25938875300600001</v>
      </c>
      <c r="G91" s="1">
        <f t="shared" si="52"/>
        <v>1.77699764658208</v>
      </c>
      <c r="H91" s="1">
        <f t="shared" si="53"/>
        <v>0.11341852423</v>
      </c>
      <c r="I91" s="1">
        <f t="shared" si="54"/>
        <v>0.279797733188001</v>
      </c>
      <c r="J91" s="1">
        <f t="shared" si="55"/>
        <v>-0.648478838108829</v>
      </c>
      <c r="K91" s="1">
        <f t="shared" si="56"/>
        <v>0.77699764658208104</v>
      </c>
      <c r="L91" s="1">
        <f t="shared" si="57"/>
        <v>0.46626406703291901</v>
      </c>
      <c r="M91" s="1">
        <f t="shared" si="58"/>
        <v>0.18791196615749101</v>
      </c>
      <c r="N91" s="1">
        <f t="shared" si="59"/>
        <v>0.167920892736308</v>
      </c>
      <c r="O91" s="1">
        <f t="shared" si="60"/>
        <v>0.23271141406847101</v>
      </c>
      <c r="P91" s="1">
        <f t="shared" si="61"/>
        <v>0.17814108448385099</v>
      </c>
      <c r="Q91" s="2">
        <f t="shared" si="62"/>
        <v>0.48185040641883298</v>
      </c>
      <c r="R91" s="1">
        <f t="shared" si="63"/>
        <v>2.85988916092183</v>
      </c>
      <c r="S91" s="2">
        <f t="shared" si="64"/>
        <v>0.38362084290405402</v>
      </c>
      <c r="T91" s="1">
        <f t="shared" si="65"/>
        <v>-0.48899628102815801</v>
      </c>
      <c r="U91" s="1">
        <f t="shared" si="66"/>
        <v>0.29765731662274297</v>
      </c>
      <c r="V91" s="2">
        <f t="shared" si="67"/>
        <v>0.27021440923457202</v>
      </c>
      <c r="W91" s="2">
        <f t="shared" si="68"/>
        <v>0.16868986979389999</v>
      </c>
      <c r="X91" s="1">
        <f t="shared" si="69"/>
        <v>0.28510223134681101</v>
      </c>
      <c r="Y91" s="2">
        <f t="shared" si="70"/>
        <v>0.99088364928423001</v>
      </c>
      <c r="Z91" s="1">
        <f t="shared" si="71"/>
        <v>0.69112068195082799</v>
      </c>
      <c r="AA91" s="1">
        <f t="shared" si="72"/>
        <v>2.8621469538205999</v>
      </c>
      <c r="AB91" s="1">
        <f t="shared" si="73"/>
        <v>0.17504381810905001</v>
      </c>
      <c r="AC91" s="2">
        <f t="shared" si="74"/>
        <v>1.33353009069617</v>
      </c>
      <c r="AD91" s="2">
        <f t="shared" si="75"/>
        <v>6.4875892129657997E-2</v>
      </c>
      <c r="AE91" s="1">
        <f t="shared" si="76"/>
        <v>0.142929414977746</v>
      </c>
      <c r="AF91" s="2">
        <f t="shared" si="77"/>
        <v>9.6294721081954401E-2</v>
      </c>
      <c r="AG91" s="5">
        <f t="shared" si="78"/>
        <v>0.102016640687317</v>
      </c>
      <c r="AH91" s="1">
        <f t="shared" si="79"/>
        <v>28.782962958681999</v>
      </c>
      <c r="AI91" s="1">
        <f t="shared" si="80"/>
        <v>0.33353009069617101</v>
      </c>
      <c r="AJ91" s="1">
        <f t="shared" si="81"/>
        <v>0.21833749275073799</v>
      </c>
      <c r="AK91" s="2">
        <f t="shared" si="82"/>
        <v>0.114475065920756</v>
      </c>
      <c r="AL91" s="2">
        <f t="shared" si="83"/>
        <v>0.122586475045212</v>
      </c>
      <c r="AM91" s="1">
        <f t="shared" si="84"/>
        <v>2.85988916092183</v>
      </c>
      <c r="AN91" s="1">
        <f t="shared" si="85"/>
        <v>0.103813977664242</v>
      </c>
      <c r="AO91" s="1">
        <f t="shared" si="86"/>
        <v>0.363989140755894</v>
      </c>
      <c r="AP91" s="1">
        <f t="shared" si="87"/>
        <v>2.1446003962526401</v>
      </c>
      <c r="AQ91" s="1">
        <f t="shared" si="88"/>
        <v>4.8542632100342001E-2</v>
      </c>
      <c r="AR91" s="1">
        <f t="shared" si="89"/>
        <v>0.14256987667113699</v>
      </c>
      <c r="AS91" s="1">
        <f t="shared" si="90"/>
        <v>0.62492444263605296</v>
      </c>
      <c r="AT91" s="1">
        <f t="shared" si="91"/>
        <v>0.243335690051946</v>
      </c>
      <c r="AU91" s="2">
        <f t="shared" si="92"/>
        <v>0.324257361396319</v>
      </c>
      <c r="AV91" s="2">
        <f t="shared" si="93"/>
        <v>0.16654204999076899</v>
      </c>
      <c r="AW91" s="2">
        <f t="shared" si="94"/>
        <v>0.47629180360630102</v>
      </c>
      <c r="AX91" s="2">
        <f t="shared" si="95"/>
        <v>1.6333260029316E-2</v>
      </c>
      <c r="AY91" s="7">
        <f t="shared" si="96"/>
        <v>1.4873220308511099</v>
      </c>
      <c r="AZ91" s="2">
        <f t="shared" si="97"/>
        <v>0.121792479826733</v>
      </c>
      <c r="BA91" s="1">
        <f t="shared" si="98"/>
        <v>2.2030983092877001</v>
      </c>
      <c r="BB91" s="2">
        <f t="shared" si="99"/>
        <v>5.6264551335046299E-2</v>
      </c>
      <c r="BC91" s="1">
        <f t="shared" si="100"/>
        <v>0.62711728125684596</v>
      </c>
      <c r="BD91" s="1">
        <f t="shared" si="101"/>
        <v>5.9655865969503299E-2</v>
      </c>
      <c r="BE91" s="2">
        <f t="shared" si="102"/>
        <v>1.7694778590174001E-2</v>
      </c>
      <c r="BF91" s="1">
        <f t="shared" si="103"/>
        <v>0.51083121135119902</v>
      </c>
    </row>
    <row r="92" spans="1:58" customFormat="1" x14ac:dyDescent="0.15">
      <c r="A92" s="6">
        <v>225.5</v>
      </c>
      <c r="B92">
        <v>9.7912599856700006E-2</v>
      </c>
      <c r="C92">
        <v>0.13489204256099999</v>
      </c>
      <c r="D92" s="4">
        <v>8.3814793681599997E-2</v>
      </c>
      <c r="E92" s="4">
        <v>0.187491089555232</v>
      </c>
      <c r="F92">
        <v>0.24780113323200001</v>
      </c>
      <c r="G92" s="1">
        <f t="shared" si="52"/>
        <v>1.83703299710908</v>
      </c>
      <c r="H92" s="1">
        <f t="shared" si="53"/>
        <v>0.112909090671</v>
      </c>
      <c r="I92" s="1">
        <f t="shared" si="54"/>
        <v>0.29503816062838001</v>
      </c>
      <c r="J92" s="1">
        <f t="shared" si="55"/>
        <v>-0.63874791970661005</v>
      </c>
      <c r="K92" s="1">
        <f t="shared" si="56"/>
        <v>0.83703299710908496</v>
      </c>
      <c r="L92" s="1">
        <f t="shared" si="57"/>
        <v>0.49694735722440903</v>
      </c>
      <c r="M92" s="1">
        <f t="shared" si="58"/>
        <v>0.19187146864973301</v>
      </c>
      <c r="N92" s="1">
        <f t="shared" si="59"/>
        <v>0.17040321712815501</v>
      </c>
      <c r="O92" s="1">
        <f t="shared" si="60"/>
        <v>0.241341794996733</v>
      </c>
      <c r="P92" s="1">
        <f t="shared" si="61"/>
        <v>0.18251709626715701</v>
      </c>
      <c r="Q92" s="2">
        <f t="shared" si="62"/>
        <v>0.49450682624518599</v>
      </c>
      <c r="R92" s="1">
        <f t="shared" si="63"/>
        <v>2.9565321627272598</v>
      </c>
      <c r="S92" s="2">
        <f t="shared" si="64"/>
        <v>0.38693651581368599</v>
      </c>
      <c r="T92" s="1">
        <f t="shared" si="65"/>
        <v>-0.47625024164213597</v>
      </c>
      <c r="U92" s="1">
        <f t="shared" si="66"/>
        <v>0.29578499084127802</v>
      </c>
      <c r="V92" s="2">
        <f t="shared" si="67"/>
        <v>0.26693331796229097</v>
      </c>
      <c r="W92" s="2">
        <f t="shared" si="68"/>
        <v>0.16398633955040001</v>
      </c>
      <c r="X92" s="1">
        <f t="shared" si="69"/>
        <v>0.28476721075052502</v>
      </c>
      <c r="Y92" s="2">
        <f t="shared" si="70"/>
        <v>0.99724963085738305</v>
      </c>
      <c r="Z92" s="1">
        <f t="shared" si="71"/>
        <v>0.71945693831723001</v>
      </c>
      <c r="AA92" s="1">
        <f t="shared" si="72"/>
        <v>2.88309325740234</v>
      </c>
      <c r="AB92" s="1">
        <f t="shared" si="73"/>
        <v>0.16580796345679999</v>
      </c>
      <c r="AC92" s="2">
        <f t="shared" si="74"/>
        <v>1.32166885274301</v>
      </c>
      <c r="AD92" s="2">
        <f t="shared" si="75"/>
        <v>6.0310043676768003E-2</v>
      </c>
      <c r="AE92" s="1">
        <f t="shared" si="76"/>
        <v>0.138550703457542</v>
      </c>
      <c r="AF92" s="2">
        <f t="shared" si="77"/>
        <v>9.1411153460457306E-2</v>
      </c>
      <c r="AG92" s="5">
        <f t="shared" si="78"/>
        <v>9.6723850911066306E-2</v>
      </c>
      <c r="AH92" s="1">
        <f t="shared" si="79"/>
        <v>27.889522044735202</v>
      </c>
      <c r="AI92" s="1">
        <f t="shared" si="80"/>
        <v>0.32166885274300799</v>
      </c>
      <c r="AJ92" s="1">
        <f t="shared" si="81"/>
        <v>0.211110032513673</v>
      </c>
      <c r="AK92" s="2">
        <f t="shared" si="82"/>
        <v>0.108782266653908</v>
      </c>
      <c r="AL92" s="2">
        <f t="shared" si="83"/>
        <v>0.1175215263816</v>
      </c>
      <c r="AM92" s="1">
        <f t="shared" si="84"/>
        <v>2.9565321627272598</v>
      </c>
      <c r="AN92" s="1">
        <f t="shared" si="85"/>
        <v>0.103676295873632</v>
      </c>
      <c r="AO92" s="1">
        <f t="shared" si="86"/>
        <v>0.38213803046478501</v>
      </c>
      <c r="AP92" s="1">
        <f t="shared" si="87"/>
        <v>2.2369689325667599</v>
      </c>
      <c r="AQ92" s="1">
        <f t="shared" si="88"/>
        <v>5.2599046994231999E-2</v>
      </c>
      <c r="AR92" s="1">
        <f t="shared" si="89"/>
        <v>0.16315694511978401</v>
      </c>
      <c r="AS92" s="1">
        <f t="shared" si="90"/>
        <v>0.58171487675715305</v>
      </c>
      <c r="AT92" s="1">
        <f t="shared" si="91"/>
        <v>0.23657622764917299</v>
      </c>
      <c r="AU92" s="2">
        <f t="shared" si="92"/>
        <v>0.32882543582770501</v>
      </c>
      <c r="AV92" s="2">
        <f t="shared" si="93"/>
        <v>0.16145956618298299</v>
      </c>
      <c r="AW92" s="2">
        <f t="shared" si="94"/>
        <v>0.47736040039997901</v>
      </c>
      <c r="AX92" s="2">
        <f t="shared" si="95"/>
        <v>7.7109966825360003E-3</v>
      </c>
      <c r="AY92" s="7">
        <f t="shared" si="96"/>
        <v>1.4523749910291199</v>
      </c>
      <c r="AZ92" s="2">
        <f t="shared" si="97"/>
        <v>0.110777925001997</v>
      </c>
      <c r="BA92" s="1">
        <f t="shared" si="98"/>
        <v>1.9944283915902601</v>
      </c>
      <c r="BB92" s="2">
        <f t="shared" si="99"/>
        <v>4.9864220568875302E-2</v>
      </c>
      <c r="BC92" s="1">
        <f t="shared" si="100"/>
        <v>0.59756640326825805</v>
      </c>
      <c r="BD92" s="1">
        <f t="shared" si="101"/>
        <v>5.0888748674842499E-2</v>
      </c>
      <c r="BE92" s="2">
        <f t="shared" si="102"/>
        <v>4.7919495835439703E-3</v>
      </c>
      <c r="BF92" s="1">
        <f t="shared" si="103"/>
        <v>0.46960265466152901</v>
      </c>
    </row>
    <row r="93" spans="1:58" customFormat="1" x14ac:dyDescent="0.15">
      <c r="A93" s="6">
        <v>208</v>
      </c>
      <c r="B93">
        <v>0.11674803093</v>
      </c>
      <c r="C93">
        <v>0.15955051806000001</v>
      </c>
      <c r="D93" s="4">
        <v>0.107026288624</v>
      </c>
      <c r="E93" s="4">
        <v>0.21116681439648</v>
      </c>
      <c r="F93">
        <v>0.24362794146700001</v>
      </c>
      <c r="G93" s="1">
        <f t="shared" si="52"/>
        <v>1.5269642770785701</v>
      </c>
      <c r="H93" s="1">
        <f t="shared" si="53"/>
        <v>8.4077423407000001E-2</v>
      </c>
      <c r="I93" s="1">
        <f t="shared" si="54"/>
        <v>0.208536496482569</v>
      </c>
      <c r="J93" s="1">
        <f t="shared" si="55"/>
        <v>-0.690280286171852</v>
      </c>
      <c r="K93" s="1">
        <f t="shared" si="56"/>
        <v>0.52696427707857496</v>
      </c>
      <c r="L93" s="1">
        <f t="shared" si="57"/>
        <v>0.33149854315431898</v>
      </c>
      <c r="M93" s="1">
        <f t="shared" si="58"/>
        <v>0.139635897845203</v>
      </c>
      <c r="N93" s="1">
        <f t="shared" si="59"/>
        <v>0.123283143377705</v>
      </c>
      <c r="O93" s="1">
        <f t="shared" si="60"/>
        <v>0.173177452905484</v>
      </c>
      <c r="P93" s="1">
        <f t="shared" si="61"/>
        <v>0.13241303300875401</v>
      </c>
      <c r="Q93" s="2">
        <f t="shared" si="62"/>
        <v>0.38956225569430603</v>
      </c>
      <c r="R93" s="1">
        <f t="shared" si="63"/>
        <v>2.27633738027582</v>
      </c>
      <c r="S93" s="2">
        <f t="shared" si="64"/>
        <v>0.31030373971374398</v>
      </c>
      <c r="T93" s="1">
        <f t="shared" si="65"/>
        <v>-0.57089386810922704</v>
      </c>
      <c r="U93" s="1">
        <f t="shared" si="66"/>
        <v>0.24087634201569799</v>
      </c>
      <c r="V93" s="2">
        <f t="shared" si="67"/>
        <v>0.21468634767384001</v>
      </c>
      <c r="W93" s="2">
        <f t="shared" si="68"/>
        <v>0.13660165284299999</v>
      </c>
      <c r="X93" s="1">
        <f t="shared" si="69"/>
        <v>0.230683436798331</v>
      </c>
      <c r="Y93" s="2">
        <f t="shared" si="70"/>
        <v>0.94316608065298102</v>
      </c>
      <c r="Z93" s="1">
        <f t="shared" si="71"/>
        <v>0.50875358500844003</v>
      </c>
      <c r="AA93" s="1">
        <f t="shared" si="72"/>
        <v>2.7576151493612202</v>
      </c>
      <c r="AB93" s="1">
        <f t="shared" si="73"/>
        <v>0.1753271150455</v>
      </c>
      <c r="AC93" s="2">
        <f t="shared" si="74"/>
        <v>1.1537226725861001</v>
      </c>
      <c r="AD93" s="2">
        <f t="shared" si="75"/>
        <v>3.2461127070519999E-2</v>
      </c>
      <c r="AE93" s="1">
        <f t="shared" si="76"/>
        <v>7.1375332833134394E-2</v>
      </c>
      <c r="AF93" s="2">
        <f t="shared" si="77"/>
        <v>4.8134434127732599E-2</v>
      </c>
      <c r="AG93" s="5">
        <f t="shared" si="78"/>
        <v>5.0997023503491098E-2</v>
      </c>
      <c r="AH93" s="1">
        <f t="shared" si="79"/>
        <v>14.299382082189</v>
      </c>
      <c r="AI93" s="1">
        <f t="shared" si="80"/>
        <v>0.15372267258610101</v>
      </c>
      <c r="AJ93" s="1">
        <f t="shared" si="81"/>
        <v>0.104747348032453</v>
      </c>
      <c r="AK93" s="2">
        <f t="shared" si="82"/>
        <v>5.7240285045747803E-2</v>
      </c>
      <c r="AL93" s="2">
        <f t="shared" si="83"/>
        <v>6.1247932001171401E-2</v>
      </c>
      <c r="AM93" s="1">
        <f t="shared" si="84"/>
        <v>2.27633738027582</v>
      </c>
      <c r="AN93" s="1">
        <f t="shared" si="85"/>
        <v>0.10414052577247999</v>
      </c>
      <c r="AO93" s="1">
        <f t="shared" si="86"/>
        <v>0.32728718750945801</v>
      </c>
      <c r="AP93" s="1">
        <f t="shared" si="87"/>
        <v>1.9730368782415899</v>
      </c>
      <c r="AQ93" s="1">
        <f t="shared" si="88"/>
        <v>5.1616296336480003E-2</v>
      </c>
      <c r="AR93" s="1">
        <f t="shared" si="89"/>
        <v>0.139233566433098</v>
      </c>
      <c r="AS93" s="1">
        <f t="shared" si="90"/>
        <v>0.31170504306305402</v>
      </c>
      <c r="AT93" s="1">
        <f t="shared" si="91"/>
        <v>0.25970822082025602</v>
      </c>
      <c r="AU93" s="2">
        <f t="shared" si="92"/>
        <v>0.34372660352357798</v>
      </c>
      <c r="AV93" s="2">
        <f t="shared" si="93"/>
        <v>0.19049889582123899</v>
      </c>
      <c r="AW93" s="2">
        <f t="shared" si="94"/>
        <v>0.43363975745915501</v>
      </c>
      <c r="AX93" s="2">
        <f t="shared" si="95"/>
        <v>-1.915516926596E-2</v>
      </c>
      <c r="AY93" s="7">
        <f t="shared" si="96"/>
        <v>1.6247126435088499</v>
      </c>
      <c r="AZ93" s="2">
        <f t="shared" si="97"/>
        <v>6.1760137925371703E-2</v>
      </c>
      <c r="BA93" s="1">
        <f t="shared" si="98"/>
        <v>2.5908506587860098</v>
      </c>
      <c r="BB93" s="2">
        <f t="shared" si="99"/>
        <v>1.80507323515019E-2</v>
      </c>
      <c r="BC93" s="1">
        <f t="shared" si="100"/>
        <v>0.57041685774817596</v>
      </c>
      <c r="BD93" s="1">
        <f t="shared" si="101"/>
        <v>2.8231268129371399E-3</v>
      </c>
      <c r="BE93" s="2">
        <f t="shared" si="102"/>
        <v>-3.3777399303360101E-2</v>
      </c>
      <c r="BF93" s="1">
        <f t="shared" si="103"/>
        <v>0.342267823796015</v>
      </c>
    </row>
    <row r="94" spans="1:58" customFormat="1" x14ac:dyDescent="0.15">
      <c r="A94" s="6">
        <v>217</v>
      </c>
      <c r="B94">
        <v>0.11759023026400001</v>
      </c>
      <c r="C94">
        <v>0.157642078213</v>
      </c>
      <c r="D94" s="4">
        <v>0.107210207838</v>
      </c>
      <c r="E94" s="4">
        <v>0.21135441199475999</v>
      </c>
      <c r="F94">
        <v>0.228791186033</v>
      </c>
      <c r="G94" s="1">
        <f t="shared" si="52"/>
        <v>1.45133322667737</v>
      </c>
      <c r="H94" s="1">
        <f t="shared" si="53"/>
        <v>7.1149107820000002E-2</v>
      </c>
      <c r="I94" s="1">
        <f t="shared" si="54"/>
        <v>0.18411745158332701</v>
      </c>
      <c r="J94" s="1">
        <f t="shared" si="55"/>
        <v>-0.70334538887428699</v>
      </c>
      <c r="K94" s="1">
        <f t="shared" si="56"/>
        <v>0.45133322667737202</v>
      </c>
      <c r="L94" s="1">
        <f t="shared" si="57"/>
        <v>0.28826779825488302</v>
      </c>
      <c r="M94" s="1">
        <f t="shared" si="58"/>
        <v>0.120396724756013</v>
      </c>
      <c r="N94" s="1">
        <f t="shared" si="59"/>
        <v>0.105222122336454</v>
      </c>
      <c r="O94" s="1">
        <f t="shared" si="60"/>
        <v>0.15103942324061101</v>
      </c>
      <c r="P94" s="1">
        <f t="shared" si="61"/>
        <v>0.114454324576426</v>
      </c>
      <c r="Q94" s="2">
        <f t="shared" si="62"/>
        <v>0.36184664829598401</v>
      </c>
      <c r="R94" s="1">
        <f t="shared" si="63"/>
        <v>2.1340429297433601</v>
      </c>
      <c r="S94" s="2">
        <f t="shared" si="64"/>
        <v>0.28434181123063601</v>
      </c>
      <c r="T94" s="1">
        <f t="shared" si="65"/>
        <v>-0.59224874006466699</v>
      </c>
      <c r="U94" s="1">
        <f t="shared" si="66"/>
        <v>0.21814732442974999</v>
      </c>
      <c r="V94" s="2">
        <f t="shared" si="67"/>
        <v>0.192158503046409</v>
      </c>
      <c r="W94" s="2">
        <f t="shared" si="68"/>
        <v>0.12158097819499999</v>
      </c>
      <c r="X94" s="1">
        <f t="shared" si="69"/>
        <v>0.209746679250013</v>
      </c>
      <c r="Y94" s="2">
        <f t="shared" si="70"/>
        <v>0.92835696167798698</v>
      </c>
      <c r="Z94" s="1">
        <f t="shared" si="71"/>
        <v>0.46083638020941903</v>
      </c>
      <c r="AA94" s="1">
        <f t="shared" si="72"/>
        <v>2.7384653375066899</v>
      </c>
      <c r="AB94" s="1">
        <f t="shared" si="73"/>
        <v>0.16800069693549999</v>
      </c>
      <c r="AC94" s="2">
        <f t="shared" si="74"/>
        <v>1.08250016582891</v>
      </c>
      <c r="AD94" s="2">
        <f t="shared" si="75"/>
        <v>1.743677403824E-2</v>
      </c>
      <c r="AE94" s="1">
        <f t="shared" si="76"/>
        <v>3.9615922813659998E-2</v>
      </c>
      <c r="AF94" s="2">
        <f t="shared" si="77"/>
        <v>2.6282577773463298E-2</v>
      </c>
      <c r="AG94" s="5">
        <f t="shared" si="78"/>
        <v>2.7820330289508699E-2</v>
      </c>
      <c r="AH94" s="1">
        <f t="shared" si="79"/>
        <v>7.9273334085177396</v>
      </c>
      <c r="AI94" s="1">
        <f t="shared" si="80"/>
        <v>8.2500165828912397E-2</v>
      </c>
      <c r="AJ94" s="1">
        <f t="shared" si="81"/>
        <v>5.7169224252147599E-2</v>
      </c>
      <c r="AK94" s="2">
        <f t="shared" si="82"/>
        <v>3.1286025656311098E-2</v>
      </c>
      <c r="AL94" s="2">
        <f t="shared" si="83"/>
        <v>3.3702918009944002E-2</v>
      </c>
      <c r="AM94" s="1">
        <f t="shared" si="84"/>
        <v>2.1340429297433601</v>
      </c>
      <c r="AN94" s="1">
        <f t="shared" si="85"/>
        <v>0.10414420415676</v>
      </c>
      <c r="AO94" s="1">
        <f t="shared" si="86"/>
        <v>0.32691704499838597</v>
      </c>
      <c r="AP94" s="1">
        <f t="shared" si="87"/>
        <v>1.9714019425662099</v>
      </c>
      <c r="AQ94" s="1">
        <f t="shared" si="88"/>
        <v>5.3712333781759998E-2</v>
      </c>
      <c r="AR94" s="1">
        <f t="shared" si="89"/>
        <v>0.14556326471159101</v>
      </c>
      <c r="AS94" s="1">
        <f t="shared" si="90"/>
        <v>0.16742913520174199</v>
      </c>
      <c r="AT94" s="1">
        <f t="shared" si="91"/>
        <v>0.263709147040879</v>
      </c>
      <c r="AU94" s="2">
        <f t="shared" si="92"/>
        <v>0.35356100567994397</v>
      </c>
      <c r="AV94" s="2">
        <f t="shared" si="93"/>
        <v>0.19586931697641199</v>
      </c>
      <c r="AW94" s="2">
        <f t="shared" si="94"/>
        <v>0.41799353104717302</v>
      </c>
      <c r="AX94" s="2">
        <f t="shared" si="95"/>
        <v>-3.6275559743520001E-2</v>
      </c>
      <c r="AY94" s="7">
        <f t="shared" si="96"/>
        <v>1.70881943456814</v>
      </c>
      <c r="AZ94" s="2">
        <f t="shared" si="97"/>
        <v>3.3159794924894299E-2</v>
      </c>
      <c r="BA94" s="1">
        <f t="shared" si="98"/>
        <v>2.6647211997234401</v>
      </c>
      <c r="BB94" s="2">
        <f t="shared" si="99"/>
        <v>3.47152658517022E-3</v>
      </c>
      <c r="BC94" s="1">
        <f t="shared" si="100"/>
        <v>0.52674149045283603</v>
      </c>
      <c r="BD94" s="1">
        <f t="shared" si="101"/>
        <v>-2.66565353199174E-2</v>
      </c>
      <c r="BE94" s="2">
        <f t="shared" si="102"/>
        <v>-5.868228608448E-2</v>
      </c>
      <c r="BF94" s="1">
        <f t="shared" si="103"/>
        <v>0.215166582379785</v>
      </c>
    </row>
    <row r="95" spans="1:58" customFormat="1" x14ac:dyDescent="0.15">
      <c r="A95" s="6">
        <v>215</v>
      </c>
      <c r="B95">
        <v>0.101077391089</v>
      </c>
      <c r="C95">
        <v>0.14541575377999999</v>
      </c>
      <c r="D95" s="4">
        <v>9.1801389574200004E-2</v>
      </c>
      <c r="E95" s="4">
        <v>0.19563741736568399</v>
      </c>
      <c r="F95">
        <v>0.24254664063799999</v>
      </c>
      <c r="G95" s="1">
        <f t="shared" si="52"/>
        <v>1.6679529853756401</v>
      </c>
      <c r="H95" s="1">
        <f t="shared" si="53"/>
        <v>9.7130886858000004E-2</v>
      </c>
      <c r="I95" s="1">
        <f t="shared" si="54"/>
        <v>0.25036160271077401</v>
      </c>
      <c r="J95" s="1">
        <f t="shared" si="55"/>
        <v>-0.66645230778855502</v>
      </c>
      <c r="K95" s="1">
        <f t="shared" si="56"/>
        <v>0.66795298537563996</v>
      </c>
      <c r="L95" s="1">
        <f t="shared" si="57"/>
        <v>0.40893737901308502</v>
      </c>
      <c r="M95" s="1">
        <f t="shared" si="58"/>
        <v>0.164079392554112</v>
      </c>
      <c r="N95" s="1">
        <f t="shared" si="59"/>
        <v>0.14495669777853501</v>
      </c>
      <c r="O95" s="1">
        <f t="shared" si="60"/>
        <v>0.20561963722884799</v>
      </c>
      <c r="P95" s="1">
        <f t="shared" si="61"/>
        <v>0.15594179845855199</v>
      </c>
      <c r="Q95" s="2">
        <f t="shared" si="62"/>
        <v>0.450863284488701</v>
      </c>
      <c r="R95" s="1">
        <f t="shared" si="63"/>
        <v>2.6420802752877499</v>
      </c>
      <c r="S95" s="2">
        <f t="shared" si="64"/>
        <v>0.35372749671713499</v>
      </c>
      <c r="T95" s="1">
        <f t="shared" si="65"/>
        <v>-0.518545656773715</v>
      </c>
      <c r="U95" s="1">
        <f t="shared" si="66"/>
        <v>0.27101145853750203</v>
      </c>
      <c r="V95" s="2">
        <f t="shared" si="67"/>
        <v>0.24266164246824201</v>
      </c>
      <c r="W95" s="2">
        <f t="shared" si="68"/>
        <v>0.15074525106379999</v>
      </c>
      <c r="X95" s="1">
        <f t="shared" si="69"/>
        <v>0.26070193519745599</v>
      </c>
      <c r="Y95" s="2">
        <f t="shared" si="70"/>
        <v>0.97512218951714003</v>
      </c>
      <c r="Z95" s="1">
        <f t="shared" si="71"/>
        <v>0.62544771533499199</v>
      </c>
      <c r="AA95" s="1">
        <f t="shared" si="72"/>
        <v>2.83369864903728</v>
      </c>
      <c r="AB95" s="1">
        <f t="shared" si="73"/>
        <v>0.1671740151061</v>
      </c>
      <c r="AC95" s="2">
        <f t="shared" si="74"/>
        <v>1.23977633677628</v>
      </c>
      <c r="AD95" s="2">
        <f t="shared" si="75"/>
        <v>4.6909223272316003E-2</v>
      </c>
      <c r="AE95" s="1">
        <f t="shared" si="76"/>
        <v>0.107053696763933</v>
      </c>
      <c r="AF95" s="2">
        <f t="shared" si="77"/>
        <v>7.0864700405957701E-2</v>
      </c>
      <c r="AG95" s="5">
        <f t="shared" si="78"/>
        <v>7.5000032571644601E-2</v>
      </c>
      <c r="AH95" s="1">
        <f t="shared" si="79"/>
        <v>21.4930989780161</v>
      </c>
      <c r="AI95" s="1">
        <f t="shared" si="80"/>
        <v>0.23977633677627999</v>
      </c>
      <c r="AJ95" s="1">
        <f t="shared" si="81"/>
        <v>0.16021530279100901</v>
      </c>
      <c r="AK95" s="2">
        <f t="shared" si="82"/>
        <v>8.4333913859158199E-2</v>
      </c>
      <c r="AL95" s="2">
        <f t="shared" si="83"/>
        <v>9.0966481416245706E-2</v>
      </c>
      <c r="AM95" s="1">
        <f t="shared" si="84"/>
        <v>2.6420802752877499</v>
      </c>
      <c r="AN95" s="1">
        <f t="shared" si="85"/>
        <v>0.103836027791484</v>
      </c>
      <c r="AO95" s="1">
        <f t="shared" si="86"/>
        <v>0.36124568180941802</v>
      </c>
      <c r="AP95" s="1">
        <f t="shared" si="87"/>
        <v>2.1310942925058498</v>
      </c>
      <c r="AQ95" s="1">
        <f t="shared" si="88"/>
        <v>5.0221663585684001E-2</v>
      </c>
      <c r="AR95" s="1">
        <f t="shared" si="89"/>
        <v>0.14725464483141101</v>
      </c>
      <c r="AS95" s="1">
        <f t="shared" si="90"/>
        <v>0.45176249775767302</v>
      </c>
      <c r="AT95" s="1">
        <f t="shared" si="91"/>
        <v>0.249170323300069</v>
      </c>
      <c r="AU95" s="2">
        <f t="shared" si="92"/>
        <v>0.33522529208456697</v>
      </c>
      <c r="AV95" s="2">
        <f t="shared" si="93"/>
        <v>0.17321492503944499</v>
      </c>
      <c r="AW95" s="2">
        <f t="shared" si="94"/>
        <v>0.45764773683216398</v>
      </c>
      <c r="AX95" s="2">
        <f t="shared" si="95"/>
        <v>-3.3124403133680501E-3</v>
      </c>
      <c r="AY95" s="7">
        <f t="shared" si="96"/>
        <v>1.5519805896983201</v>
      </c>
      <c r="AZ95" s="2">
        <f t="shared" si="97"/>
        <v>8.8457698330128898E-2</v>
      </c>
      <c r="BA95" s="1">
        <f t="shared" si="98"/>
        <v>2.2920589417378001</v>
      </c>
      <c r="BB95" s="2">
        <f t="shared" si="99"/>
        <v>3.4072829970244002E-2</v>
      </c>
      <c r="BC95" s="1">
        <f t="shared" si="100"/>
        <v>0.57722704484506504</v>
      </c>
      <c r="BD95" s="1">
        <f t="shared" si="101"/>
        <v>2.8593432726768699E-2</v>
      </c>
      <c r="BE95" s="2">
        <f t="shared" si="102"/>
        <v>-1.07965136815321E-2</v>
      </c>
      <c r="BF95" s="1">
        <f t="shared" si="103"/>
        <v>0.427596307120644</v>
      </c>
    </row>
    <row r="96" spans="1:58" customFormat="1" x14ac:dyDescent="0.15">
      <c r="A96" s="6">
        <v>233.5</v>
      </c>
      <c r="B96">
        <v>8.8443616893899998E-2</v>
      </c>
      <c r="C96">
        <v>0.13750714433799999</v>
      </c>
      <c r="D96" s="4">
        <v>7.8847225012099995E-2</v>
      </c>
      <c r="E96" s="4">
        <v>0.182424169512342</v>
      </c>
      <c r="F96">
        <v>0.27863537681</v>
      </c>
      <c r="G96" s="1">
        <f t="shared" si="52"/>
        <v>2.0263338181549302</v>
      </c>
      <c r="H96" s="1">
        <f t="shared" si="53"/>
        <v>0.14112823247199999</v>
      </c>
      <c r="I96" s="1">
        <f t="shared" si="54"/>
        <v>0.33913437175964101</v>
      </c>
      <c r="J96" s="1">
        <f t="shared" si="55"/>
        <v>-0.60880329676155198</v>
      </c>
      <c r="K96" s="1">
        <f t="shared" si="56"/>
        <v>1.02633381815493</v>
      </c>
      <c r="L96" s="1">
        <f t="shared" si="57"/>
        <v>0.58997040149116298</v>
      </c>
      <c r="M96" s="1">
        <f t="shared" si="58"/>
        <v>0.23106923193864301</v>
      </c>
      <c r="N96" s="1">
        <f t="shared" si="59"/>
        <v>0.20941082966182001</v>
      </c>
      <c r="O96" s="1">
        <f t="shared" si="60"/>
        <v>0.284146272247568</v>
      </c>
      <c r="P96" s="1">
        <f t="shared" si="61"/>
        <v>0.218772563309342</v>
      </c>
      <c r="Q96" s="2">
        <f t="shared" si="62"/>
        <v>0.558875175405946</v>
      </c>
      <c r="R96" s="1">
        <f t="shared" si="63"/>
        <v>3.53386408674801</v>
      </c>
      <c r="S96" s="2">
        <f t="shared" si="64"/>
        <v>0.44784936782326101</v>
      </c>
      <c r="T96" s="1">
        <f t="shared" si="65"/>
        <v>-0.40443156683850101</v>
      </c>
      <c r="U96" s="1">
        <f t="shared" si="66"/>
        <v>0.34949073842436301</v>
      </c>
      <c r="V96" s="2">
        <f t="shared" si="67"/>
        <v>0.32399623812498701</v>
      </c>
      <c r="W96" s="2">
        <f t="shared" si="68"/>
        <v>0.19978815179789999</v>
      </c>
      <c r="X96" s="1">
        <f t="shared" si="69"/>
        <v>0.33415062229491799</v>
      </c>
      <c r="Y96" s="2">
        <f t="shared" si="70"/>
        <v>1.0290166059913399</v>
      </c>
      <c r="Z96" s="1">
        <f t="shared" si="71"/>
        <v>0.87985746447650004</v>
      </c>
      <c r="AA96" s="1">
        <f t="shared" si="72"/>
        <v>2.9546805811807402</v>
      </c>
      <c r="AB96" s="1">
        <f t="shared" si="73"/>
        <v>0.17874130091105001</v>
      </c>
      <c r="AC96" s="2">
        <f t="shared" si="74"/>
        <v>1.52740383883808</v>
      </c>
      <c r="AD96" s="2">
        <f t="shared" si="75"/>
        <v>9.6211207297658002E-2</v>
      </c>
      <c r="AE96" s="1">
        <f t="shared" si="76"/>
        <v>0.208674146463489</v>
      </c>
      <c r="AF96" s="2">
        <f t="shared" si="77"/>
        <v>0.14169259530074399</v>
      </c>
      <c r="AG96" s="5">
        <f t="shared" si="78"/>
        <v>0.15016427597929799</v>
      </c>
      <c r="AH96" s="1">
        <f t="shared" si="79"/>
        <v>42.3569456784479</v>
      </c>
      <c r="AI96" s="1">
        <f t="shared" si="80"/>
        <v>0.52740383883808095</v>
      </c>
      <c r="AJ96" s="1">
        <f t="shared" si="81"/>
        <v>0.33174620707870001</v>
      </c>
      <c r="AK96" s="2">
        <f t="shared" si="82"/>
        <v>0.16830290275257201</v>
      </c>
      <c r="AL96" s="2">
        <f t="shared" si="83"/>
        <v>0.179700966076702</v>
      </c>
      <c r="AM96" s="1">
        <f t="shared" si="84"/>
        <v>3.53386408674801</v>
      </c>
      <c r="AN96" s="1">
        <f t="shared" si="85"/>
        <v>0.103576944500242</v>
      </c>
      <c r="AO96" s="1">
        <f t="shared" si="86"/>
        <v>0.39643430804497198</v>
      </c>
      <c r="AP96" s="1">
        <f t="shared" si="87"/>
        <v>2.3136409618010898</v>
      </c>
      <c r="AQ96" s="1">
        <f t="shared" si="88"/>
        <v>4.4917025174341998E-2</v>
      </c>
      <c r="AR96" s="1">
        <f t="shared" si="89"/>
        <v>0.14039583882480899</v>
      </c>
      <c r="AS96" s="1">
        <f t="shared" si="90"/>
        <v>0.92888632467270005</v>
      </c>
      <c r="AT96" s="1">
        <f t="shared" si="91"/>
        <v>0.229727357842618</v>
      </c>
      <c r="AU96" s="2">
        <f t="shared" si="92"/>
        <v>0.30476832800550702</v>
      </c>
      <c r="AV96" s="2">
        <f t="shared" si="93"/>
        <v>0.14603859258371599</v>
      </c>
      <c r="AW96" s="2">
        <f t="shared" si="94"/>
        <v>0.51608053761081796</v>
      </c>
      <c r="AX96" s="2">
        <f t="shared" si="95"/>
        <v>5.1294182123315997E-2</v>
      </c>
      <c r="AY96" s="7">
        <f t="shared" si="96"/>
        <v>1.4156497838767901</v>
      </c>
      <c r="AZ96" s="2">
        <f t="shared" si="97"/>
        <v>0.17924746609365</v>
      </c>
      <c r="BA96" s="1">
        <f t="shared" si="98"/>
        <v>1.9953504898218299</v>
      </c>
      <c r="BB96" s="2">
        <f t="shared" si="99"/>
        <v>0.103841406556456</v>
      </c>
      <c r="BC96" s="1">
        <f t="shared" si="100"/>
        <v>0.69032270488742198</v>
      </c>
      <c r="BD96" s="1">
        <f t="shared" si="101"/>
        <v>0.105539307886687</v>
      </c>
      <c r="BE96" s="2">
        <f t="shared" si="102"/>
        <v>6.8473579236653995E-2</v>
      </c>
      <c r="BF96" s="1">
        <f t="shared" si="103"/>
        <v>0.61531405790795202</v>
      </c>
    </row>
    <row r="97" spans="1:58" customFormat="1" x14ac:dyDescent="0.15">
      <c r="A97" s="6">
        <v>220</v>
      </c>
      <c r="B97">
        <v>9.23545907153E-2</v>
      </c>
      <c r="C97">
        <v>0.13600738235900001</v>
      </c>
      <c r="D97" s="4">
        <v>8.0774509306200004E-2</v>
      </c>
      <c r="E97" s="4">
        <v>0.18438999949232401</v>
      </c>
      <c r="F97">
        <v>0.25590190994700002</v>
      </c>
      <c r="G97" s="1">
        <f t="shared" si="52"/>
        <v>1.88152955750248</v>
      </c>
      <c r="H97" s="1">
        <f t="shared" si="53"/>
        <v>0.119894527588</v>
      </c>
      <c r="I97" s="1">
        <f t="shared" si="54"/>
        <v>0.30592417669542599</v>
      </c>
      <c r="J97" s="1">
        <f t="shared" si="55"/>
        <v>-0.63160943468159902</v>
      </c>
      <c r="K97" s="1">
        <f t="shared" si="56"/>
        <v>0.88152955750248096</v>
      </c>
      <c r="L97" s="1">
        <f t="shared" si="57"/>
        <v>0.51930839018027597</v>
      </c>
      <c r="M97" s="1">
        <f t="shared" si="58"/>
        <v>0.20163686255249699</v>
      </c>
      <c r="N97" s="1">
        <f t="shared" si="59"/>
        <v>0.18005588687701099</v>
      </c>
      <c r="O97" s="1">
        <f t="shared" si="60"/>
        <v>0.25199367711491599</v>
      </c>
      <c r="P97" s="1">
        <f t="shared" si="61"/>
        <v>0.19151666935973499</v>
      </c>
      <c r="Q97" s="2">
        <f t="shared" si="62"/>
        <v>0.52016532975270302</v>
      </c>
      <c r="R97" s="1">
        <f t="shared" si="63"/>
        <v>3.1681023152604602</v>
      </c>
      <c r="S97" s="2">
        <f t="shared" si="64"/>
        <v>0.40901435395056601</v>
      </c>
      <c r="T97" s="1">
        <f t="shared" si="65"/>
        <v>-0.44909445880387899</v>
      </c>
      <c r="U97" s="1">
        <f t="shared" si="66"/>
        <v>0.31396976766199802</v>
      </c>
      <c r="V97" s="2">
        <f t="shared" si="67"/>
        <v>0.28565421332327101</v>
      </c>
      <c r="W97" s="2">
        <f t="shared" si="68"/>
        <v>0.17512740064080001</v>
      </c>
      <c r="X97" s="1">
        <f t="shared" si="69"/>
        <v>0.30181981728020402</v>
      </c>
      <c r="Y97" s="2">
        <f t="shared" si="70"/>
        <v>1.01003234094394</v>
      </c>
      <c r="Z97" s="1">
        <f t="shared" si="71"/>
        <v>0.77991637872695097</v>
      </c>
      <c r="AA97" s="1">
        <f t="shared" si="72"/>
        <v>2.91075468924749</v>
      </c>
      <c r="AB97" s="1">
        <f t="shared" si="73"/>
        <v>0.16833820962660001</v>
      </c>
      <c r="AC97" s="2">
        <f t="shared" si="74"/>
        <v>1.3878296580702201</v>
      </c>
      <c r="AD97" s="2">
        <f t="shared" si="75"/>
        <v>7.1511910454676003E-2</v>
      </c>
      <c r="AE97" s="1">
        <f t="shared" si="76"/>
        <v>0.162419315280493</v>
      </c>
      <c r="AF97" s="2">
        <f t="shared" si="77"/>
        <v>0.10777251751002399</v>
      </c>
      <c r="AG97" s="5">
        <f t="shared" si="78"/>
        <v>0.114079324308954</v>
      </c>
      <c r="AH97" s="1">
        <f t="shared" si="79"/>
        <v>32.774112982004603</v>
      </c>
      <c r="AI97" s="1">
        <f t="shared" si="80"/>
        <v>0.38782965807022002</v>
      </c>
      <c r="AJ97" s="1">
        <f t="shared" si="81"/>
        <v>0.25098013369434802</v>
      </c>
      <c r="AK97" s="2">
        <f t="shared" si="82"/>
        <v>0.12820710995746601</v>
      </c>
      <c r="AL97" s="2">
        <f t="shared" si="83"/>
        <v>0.138189129027082</v>
      </c>
      <c r="AM97" s="1">
        <f t="shared" si="84"/>
        <v>3.1681023152604602</v>
      </c>
      <c r="AN97" s="1">
        <f t="shared" si="85"/>
        <v>0.103615490186124</v>
      </c>
      <c r="AO97" s="1">
        <f t="shared" si="86"/>
        <v>0.39075927112422398</v>
      </c>
      <c r="AP97" s="1">
        <f t="shared" si="87"/>
        <v>2.28277461635005</v>
      </c>
      <c r="AQ97" s="1">
        <f t="shared" si="88"/>
        <v>4.8382617133324E-2</v>
      </c>
      <c r="AR97" s="1">
        <f t="shared" si="89"/>
        <v>0.15100815385493799</v>
      </c>
      <c r="AS97" s="1">
        <f t="shared" si="90"/>
        <v>0.69016621285311197</v>
      </c>
      <c r="AT97" s="1">
        <f t="shared" si="91"/>
        <v>0.23600130053013499</v>
      </c>
      <c r="AU97" s="2">
        <f t="shared" si="92"/>
        <v>0.31995527691339098</v>
      </c>
      <c r="AV97" s="2">
        <f t="shared" si="93"/>
        <v>0.15501768373534</v>
      </c>
      <c r="AW97" s="2">
        <f t="shared" si="94"/>
        <v>0.49111188274824602</v>
      </c>
      <c r="AX97" s="2">
        <f t="shared" si="95"/>
        <v>2.3129293321351999E-2</v>
      </c>
      <c r="AY97" s="7">
        <f t="shared" si="96"/>
        <v>1.4606788496852801</v>
      </c>
      <c r="AZ97" s="2">
        <f t="shared" si="97"/>
        <v>0.13320039421802399</v>
      </c>
      <c r="BA97" s="1">
        <f t="shared" si="98"/>
        <v>2.0414339436384799</v>
      </c>
      <c r="BB97" s="2">
        <f t="shared" si="99"/>
        <v>6.5967713988872301E-2</v>
      </c>
      <c r="BC97" s="1">
        <f t="shared" si="100"/>
        <v>0.623002816934214</v>
      </c>
      <c r="BD97" s="1">
        <f t="shared" si="101"/>
        <v>6.8707531033999306E-2</v>
      </c>
      <c r="BE97" s="2">
        <f t="shared" si="102"/>
        <v>2.7500268326748002E-2</v>
      </c>
      <c r="BF97" s="1">
        <f t="shared" si="103"/>
        <v>0.53091363041305495</v>
      </c>
    </row>
    <row r="98" spans="1:58" customFormat="1" x14ac:dyDescent="0.15">
      <c r="A98" s="6">
        <v>235</v>
      </c>
      <c r="B98">
        <v>9.7706952642799993E-2</v>
      </c>
      <c r="C98">
        <v>0.137323844345</v>
      </c>
      <c r="D98" s="4">
        <v>8.4616636310400006E-2</v>
      </c>
      <c r="E98" s="4">
        <v>0.18830896903660799</v>
      </c>
      <c r="F98">
        <v>0.24504091899300001</v>
      </c>
      <c r="G98" s="1">
        <f t="shared" si="52"/>
        <v>1.78440182884322</v>
      </c>
      <c r="H98" s="1">
        <f t="shared" si="53"/>
        <v>0.107717074648</v>
      </c>
      <c r="I98" s="1">
        <f t="shared" si="54"/>
        <v>0.281712869427723</v>
      </c>
      <c r="J98" s="1">
        <f t="shared" si="55"/>
        <v>-0.64727247743864502</v>
      </c>
      <c r="K98" s="1">
        <f t="shared" si="56"/>
        <v>0.78440182884322196</v>
      </c>
      <c r="L98" s="1">
        <f t="shared" si="57"/>
        <v>0.47008093982608701</v>
      </c>
      <c r="M98" s="1">
        <f t="shared" si="58"/>
        <v>0.18311657342339599</v>
      </c>
      <c r="N98" s="1">
        <f t="shared" si="59"/>
        <v>0.162244366431187</v>
      </c>
      <c r="O98" s="1">
        <f t="shared" si="60"/>
        <v>0.23038334168809299</v>
      </c>
      <c r="P98" s="1">
        <f t="shared" si="61"/>
        <v>0.174198984455847</v>
      </c>
      <c r="Q98" s="2">
        <f t="shared" si="62"/>
        <v>0.48663918087651198</v>
      </c>
      <c r="R98" s="1">
        <f t="shared" si="63"/>
        <v>2.8958952952716501</v>
      </c>
      <c r="S98" s="2">
        <f t="shared" si="64"/>
        <v>0.38004553569383798</v>
      </c>
      <c r="T98" s="1">
        <f t="shared" si="65"/>
        <v>-0.48422186580211901</v>
      </c>
      <c r="U98" s="1">
        <f t="shared" si="66"/>
        <v>0.29004306956006798</v>
      </c>
      <c r="V98" s="2">
        <f t="shared" si="67"/>
        <v>0.261060128456088</v>
      </c>
      <c r="W98" s="2">
        <f t="shared" si="68"/>
        <v>0.16042428268260001</v>
      </c>
      <c r="X98" s="1">
        <f t="shared" si="69"/>
        <v>0.27940784083014297</v>
      </c>
      <c r="Y98" s="2">
        <f t="shared" si="70"/>
        <v>0.99329712617952903</v>
      </c>
      <c r="Z98" s="1">
        <f t="shared" si="71"/>
        <v>0.70173302702617102</v>
      </c>
      <c r="AA98" s="1">
        <f t="shared" si="72"/>
        <v>2.8750794886972599</v>
      </c>
      <c r="AB98" s="1">
        <f t="shared" si="73"/>
        <v>0.16482877765170001</v>
      </c>
      <c r="AC98" s="2">
        <f t="shared" si="74"/>
        <v>1.30127056744367</v>
      </c>
      <c r="AD98" s="2">
        <f t="shared" si="75"/>
        <v>5.6731949956391997E-2</v>
      </c>
      <c r="AE98" s="1">
        <f t="shared" si="76"/>
        <v>0.13091488315445399</v>
      </c>
      <c r="AF98" s="2">
        <f t="shared" si="77"/>
        <v>8.6180372473466396E-2</v>
      </c>
      <c r="AG98" s="5">
        <f t="shared" si="78"/>
        <v>9.1174730962081105E-2</v>
      </c>
      <c r="AH98" s="1">
        <f t="shared" si="79"/>
        <v>26.3341146734654</v>
      </c>
      <c r="AI98" s="1">
        <f t="shared" si="80"/>
        <v>0.30127056744367298</v>
      </c>
      <c r="AJ98" s="1">
        <f t="shared" si="81"/>
        <v>0.198597082392377</v>
      </c>
      <c r="AK98" s="2">
        <f t="shared" si="82"/>
        <v>0.102569939115987</v>
      </c>
      <c r="AL98" s="2">
        <f t="shared" si="83"/>
        <v>0.110911054804363</v>
      </c>
      <c r="AM98" s="1">
        <f t="shared" si="84"/>
        <v>2.8958952952716501</v>
      </c>
      <c r="AN98" s="1">
        <f t="shared" si="85"/>
        <v>0.10369233272620799</v>
      </c>
      <c r="AO98" s="1">
        <f t="shared" si="86"/>
        <v>0.379928928230716</v>
      </c>
      <c r="AP98" s="1">
        <f t="shared" si="87"/>
        <v>2.2254367137194202</v>
      </c>
      <c r="AQ98" s="1">
        <f t="shared" si="88"/>
        <v>5.0985124691608E-2</v>
      </c>
      <c r="AR98" s="1">
        <f t="shared" si="89"/>
        <v>0.156572441708627</v>
      </c>
      <c r="AS98" s="1">
        <f t="shared" si="90"/>
        <v>0.54711807965771697</v>
      </c>
      <c r="AT98" s="1">
        <f t="shared" si="91"/>
        <v>0.24063459829066799</v>
      </c>
      <c r="AU98" s="2">
        <f t="shared" si="92"/>
        <v>0.32997658443651001</v>
      </c>
      <c r="AV98" s="2">
        <f t="shared" si="93"/>
        <v>0.16336313706415401</v>
      </c>
      <c r="AW98" s="2">
        <f t="shared" si="94"/>
        <v>0.47308254004490102</v>
      </c>
      <c r="AX98" s="2">
        <f t="shared" si="95"/>
        <v>5.74682526478398E-3</v>
      </c>
      <c r="AY98" s="7">
        <f t="shared" si="96"/>
        <v>1.4893115432891</v>
      </c>
      <c r="AZ98" s="2">
        <f t="shared" si="97"/>
        <v>0.105452394610939</v>
      </c>
      <c r="BA98" s="1">
        <f t="shared" si="98"/>
        <v>2.0880595229639498</v>
      </c>
      <c r="BB98" s="2">
        <f t="shared" si="99"/>
        <v>4.5789804941825198E-2</v>
      </c>
      <c r="BC98" s="1">
        <f t="shared" si="100"/>
        <v>0.58902902001854296</v>
      </c>
      <c r="BD98" s="1">
        <f t="shared" si="101"/>
        <v>4.4942611454297302E-2</v>
      </c>
      <c r="BE98" s="2">
        <f t="shared" si="102"/>
        <v>2.1572134182959802E-3</v>
      </c>
      <c r="BF98" s="1">
        <f t="shared" si="103"/>
        <v>0.46471033936219402</v>
      </c>
    </row>
    <row r="99" spans="1:58" customFormat="1" x14ac:dyDescent="0.15">
      <c r="A99" s="6">
        <v>233</v>
      </c>
      <c r="B99">
        <v>0.107497248132</v>
      </c>
      <c r="C99">
        <v>0.14457576295999999</v>
      </c>
      <c r="D99" s="4">
        <v>9.4937002389700001E-2</v>
      </c>
      <c r="E99" s="4">
        <v>0.198835742437494</v>
      </c>
      <c r="F99">
        <v>0.24177404970999999</v>
      </c>
      <c r="G99" s="1">
        <f t="shared" si="52"/>
        <v>1.6723000090747699</v>
      </c>
      <c r="H99" s="1">
        <f t="shared" si="53"/>
        <v>9.7198286750000001E-2</v>
      </c>
      <c r="I99" s="1">
        <f t="shared" si="54"/>
        <v>0.25158103760495898</v>
      </c>
      <c r="J99" s="1">
        <f t="shared" si="55"/>
        <v>-0.66572830487664303</v>
      </c>
      <c r="K99" s="1">
        <f t="shared" si="56"/>
        <v>0.67230000907477105</v>
      </c>
      <c r="L99" s="1">
        <f t="shared" si="57"/>
        <v>0.41126382513522203</v>
      </c>
      <c r="M99" s="1">
        <f t="shared" si="58"/>
        <v>0.16449197375673399</v>
      </c>
      <c r="N99" s="1">
        <f t="shared" si="59"/>
        <v>0.14525735478589899</v>
      </c>
      <c r="O99" s="1">
        <f t="shared" si="60"/>
        <v>0.20636963720915899</v>
      </c>
      <c r="P99" s="1">
        <f t="shared" si="61"/>
        <v>0.156375336399284</v>
      </c>
      <c r="Q99" s="2">
        <f t="shared" si="62"/>
        <v>0.43609215202363399</v>
      </c>
      <c r="R99" s="1">
        <f t="shared" si="63"/>
        <v>2.54667878302666</v>
      </c>
      <c r="S99" s="2">
        <f t="shared" si="64"/>
        <v>0.34291762619640498</v>
      </c>
      <c r="T99" s="1">
        <f t="shared" si="65"/>
        <v>-0.53186103916239502</v>
      </c>
      <c r="U99" s="1">
        <f t="shared" si="66"/>
        <v>0.26323970554437598</v>
      </c>
      <c r="V99" s="2">
        <f t="shared" si="67"/>
        <v>0.23526181275755101</v>
      </c>
      <c r="W99" s="2">
        <f t="shared" si="68"/>
        <v>0.14683704732030001</v>
      </c>
      <c r="X99" s="1">
        <f t="shared" si="69"/>
        <v>0.25305035855083402</v>
      </c>
      <c r="Y99" s="2">
        <f t="shared" si="70"/>
        <v>0.96751855383947705</v>
      </c>
      <c r="Z99" s="1">
        <f t="shared" si="71"/>
        <v>0.59583169006842895</v>
      </c>
      <c r="AA99" s="1">
        <f t="shared" si="72"/>
        <v>2.8163976668564601</v>
      </c>
      <c r="AB99" s="1">
        <f t="shared" si="73"/>
        <v>0.16835552604984999</v>
      </c>
      <c r="AC99" s="2">
        <f t="shared" si="74"/>
        <v>1.2159486355226301</v>
      </c>
      <c r="AD99" s="2">
        <f t="shared" si="75"/>
        <v>4.2938307272505999E-2</v>
      </c>
      <c r="AE99" s="1">
        <f t="shared" si="76"/>
        <v>9.7452004103740802E-2</v>
      </c>
      <c r="AF99" s="2">
        <f t="shared" si="77"/>
        <v>6.4687124658064199E-2</v>
      </c>
      <c r="AG99" s="5">
        <f t="shared" si="78"/>
        <v>6.8474155219786795E-2</v>
      </c>
      <c r="AH99" s="1">
        <f t="shared" si="79"/>
        <v>19.552454212766701</v>
      </c>
      <c r="AI99" s="1">
        <f t="shared" si="80"/>
        <v>0.21594863552262999</v>
      </c>
      <c r="AJ99" s="1">
        <f t="shared" si="81"/>
        <v>0.14506766460913501</v>
      </c>
      <c r="AK99" s="2">
        <f t="shared" si="82"/>
        <v>7.6976945323156007E-2</v>
      </c>
      <c r="AL99" s="2">
        <f t="shared" si="83"/>
        <v>8.2929777514974795E-2</v>
      </c>
      <c r="AM99" s="1">
        <f t="shared" si="84"/>
        <v>2.54667878302666</v>
      </c>
      <c r="AN99" s="1">
        <f t="shared" si="85"/>
        <v>0.10389874004779399</v>
      </c>
      <c r="AO99" s="1">
        <f t="shared" si="86"/>
        <v>0.35367045404062403</v>
      </c>
      <c r="AP99" s="1">
        <f t="shared" si="87"/>
        <v>2.0943966781393399</v>
      </c>
      <c r="AQ99" s="1">
        <f t="shared" si="88"/>
        <v>5.4259979477494003E-2</v>
      </c>
      <c r="AR99" s="1">
        <f t="shared" si="89"/>
        <v>0.15800280021104399</v>
      </c>
      <c r="AS99" s="1">
        <f t="shared" si="90"/>
        <v>0.41327072159637501</v>
      </c>
      <c r="AT99" s="1">
        <f t="shared" si="91"/>
        <v>0.24705969191847599</v>
      </c>
      <c r="AU99" s="2">
        <f t="shared" si="92"/>
        <v>0.33978238304424602</v>
      </c>
      <c r="AV99" s="2">
        <f t="shared" si="93"/>
        <v>0.17727116165776399</v>
      </c>
      <c r="AW99" s="2">
        <f t="shared" si="94"/>
        <v>0.451452706236315</v>
      </c>
      <c r="AX99" s="2">
        <f t="shared" si="95"/>
        <v>-1.1321672204988101E-2</v>
      </c>
      <c r="AY99" s="7">
        <f t="shared" si="96"/>
        <v>1.51069583868257</v>
      </c>
      <c r="AZ99" s="2">
        <f t="shared" si="97"/>
        <v>7.9487693732557804E-2</v>
      </c>
      <c r="BA99" s="1">
        <f t="shared" si="98"/>
        <v>2.1926161012149601</v>
      </c>
      <c r="BB99" s="2">
        <f t="shared" si="99"/>
        <v>2.8573151309895101E-2</v>
      </c>
      <c r="BC99" s="1">
        <f t="shared" si="100"/>
        <v>0.57295218358214095</v>
      </c>
      <c r="BD99" s="1">
        <f t="shared" si="101"/>
        <v>2.1687137417543498E-2</v>
      </c>
      <c r="BE99" s="2">
        <f t="shared" si="102"/>
        <v>-2.2814405512482101E-2</v>
      </c>
      <c r="BF99" s="1">
        <f t="shared" si="103"/>
        <v>0.38735830423262402</v>
      </c>
    </row>
    <row r="100" spans="1:58" customFormat="1" x14ac:dyDescent="0.15">
      <c r="A100" s="6">
        <v>237.5</v>
      </c>
      <c r="B100">
        <v>0.121448833911</v>
      </c>
      <c r="C100">
        <v>0.16020476449900001</v>
      </c>
      <c r="D100" s="4">
        <v>0.10974500008800001</v>
      </c>
      <c r="E100" s="4">
        <v>0.21393990008975999</v>
      </c>
      <c r="F100">
        <v>0.26161016128100001</v>
      </c>
      <c r="G100" s="1">
        <f t="shared" si="52"/>
        <v>1.6329736640425101</v>
      </c>
      <c r="H100" s="1">
        <f t="shared" si="53"/>
        <v>0.101405396782</v>
      </c>
      <c r="I100" s="1">
        <f t="shared" si="54"/>
        <v>0.24040258081073301</v>
      </c>
      <c r="J100" s="1">
        <f t="shared" si="55"/>
        <v>-0.67230115137483104</v>
      </c>
      <c r="K100" s="1">
        <f t="shared" si="56"/>
        <v>0.63297366404251298</v>
      </c>
      <c r="L100" s="1">
        <f t="shared" si="57"/>
        <v>0.39008781373050699</v>
      </c>
      <c r="M100" s="1">
        <f t="shared" si="58"/>
        <v>0.165009364590504</v>
      </c>
      <c r="N100" s="1">
        <f t="shared" si="59"/>
        <v>0.14741211162399301</v>
      </c>
      <c r="O100" s="1">
        <f t="shared" si="60"/>
        <v>0.202178141286804</v>
      </c>
      <c r="P100" s="1">
        <f t="shared" si="61"/>
        <v>0.15613493873739201</v>
      </c>
      <c r="Q100" s="2">
        <f t="shared" si="62"/>
        <v>0.40894856727761503</v>
      </c>
      <c r="R100" s="1">
        <f t="shared" si="63"/>
        <v>2.38380027400998</v>
      </c>
      <c r="S100" s="2">
        <f t="shared" si="64"/>
        <v>0.33153641818403801</v>
      </c>
      <c r="T100" s="1">
        <f t="shared" si="65"/>
        <v>-0.55514219354760697</v>
      </c>
      <c r="U100" s="1">
        <f t="shared" si="66"/>
        <v>0.26142926775300601</v>
      </c>
      <c r="V100" s="2">
        <f t="shared" si="67"/>
        <v>0.235948943974196</v>
      </c>
      <c r="W100" s="2">
        <f t="shared" si="68"/>
        <v>0.151865161193</v>
      </c>
      <c r="X100" s="1">
        <f t="shared" si="69"/>
        <v>0.24920882827311999</v>
      </c>
      <c r="Y100" s="2">
        <f t="shared" si="70"/>
        <v>0.95338794164684904</v>
      </c>
      <c r="Z100" s="1">
        <f t="shared" si="71"/>
        <v>0.54395604665741104</v>
      </c>
      <c r="AA100" s="1">
        <f t="shared" si="72"/>
        <v>2.76775642598035</v>
      </c>
      <c r="AB100" s="1">
        <f t="shared" si="73"/>
        <v>0.18567758068449999</v>
      </c>
      <c r="AC100" s="2">
        <f t="shared" si="74"/>
        <v>1.22282080701748</v>
      </c>
      <c r="AD100" s="2">
        <f t="shared" si="75"/>
        <v>4.7670261191240001E-2</v>
      </c>
      <c r="AE100" s="1">
        <f t="shared" si="76"/>
        <v>0.100242361558806</v>
      </c>
      <c r="AF100" s="2">
        <f t="shared" si="77"/>
        <v>6.9127270725343901E-2</v>
      </c>
      <c r="AG100" s="5">
        <f t="shared" si="78"/>
        <v>7.3297511443325303E-2</v>
      </c>
      <c r="AH100" s="1">
        <f t="shared" si="79"/>
        <v>20.116032676929901</v>
      </c>
      <c r="AI100" s="1">
        <f t="shared" si="80"/>
        <v>0.222820807017483</v>
      </c>
      <c r="AJ100" s="1">
        <f t="shared" si="81"/>
        <v>0.149452614228964</v>
      </c>
      <c r="AK100" s="2">
        <f t="shared" si="82"/>
        <v>8.2062280637113294E-2</v>
      </c>
      <c r="AL100" s="2">
        <f t="shared" si="83"/>
        <v>8.7007312787559493E-2</v>
      </c>
      <c r="AM100" s="1">
        <f t="shared" si="84"/>
        <v>2.38380027400998</v>
      </c>
      <c r="AN100" s="1">
        <f t="shared" si="85"/>
        <v>0.10419490000176</v>
      </c>
      <c r="AO100" s="1">
        <f t="shared" si="86"/>
        <v>0.32190225724010801</v>
      </c>
      <c r="AP100" s="1">
        <f t="shared" si="87"/>
        <v>1.9494273080159501</v>
      </c>
      <c r="AQ100" s="1">
        <f t="shared" si="88"/>
        <v>5.373513559076E-2</v>
      </c>
      <c r="AR100" s="1">
        <f t="shared" si="89"/>
        <v>0.14362127988601101</v>
      </c>
      <c r="AS100" s="1">
        <f t="shared" si="90"/>
        <v>0.45751050378122898</v>
      </c>
      <c r="AT100" s="1">
        <f t="shared" si="91"/>
        <v>0.25199142496453403</v>
      </c>
      <c r="AU100" s="2">
        <f t="shared" si="92"/>
        <v>0.33651321450383698</v>
      </c>
      <c r="AV100" s="2">
        <f t="shared" si="93"/>
        <v>0.18750371789312101</v>
      </c>
      <c r="AW100" s="2">
        <f t="shared" si="94"/>
        <v>0.44697141409151098</v>
      </c>
      <c r="AX100" s="2">
        <f t="shared" si="95"/>
        <v>-6.0648743995200304E-3</v>
      </c>
      <c r="AY100" s="7">
        <f t="shared" si="96"/>
        <v>1.49760432888476</v>
      </c>
      <c r="AZ100" s="2">
        <f t="shared" si="97"/>
        <v>8.8691245477951194E-2</v>
      </c>
      <c r="BA100" s="1">
        <f t="shared" si="98"/>
        <v>2.3725572199587801</v>
      </c>
      <c r="BB100" s="2">
        <f t="shared" si="99"/>
        <v>3.3492061434827601E-2</v>
      </c>
      <c r="BC100" s="1">
        <f t="shared" si="100"/>
        <v>0.62142051141647303</v>
      </c>
      <c r="BD100" s="1">
        <f t="shared" si="101"/>
        <v>3.1588456193001303E-2</v>
      </c>
      <c r="BE100" s="2">
        <f t="shared" si="102"/>
        <v>-1.51816354062001E-2</v>
      </c>
      <c r="BF100" s="1">
        <f t="shared" si="103"/>
        <v>0.416977060815023</v>
      </c>
    </row>
    <row r="101" spans="1:58" customFormat="1" x14ac:dyDescent="0.15">
      <c r="A101" s="6">
        <v>198.5</v>
      </c>
      <c r="B101">
        <v>9.4243411139199998E-2</v>
      </c>
      <c r="C101">
        <v>0.12960166416400001</v>
      </c>
      <c r="D101" s="4">
        <v>8.2361199564099999E-2</v>
      </c>
      <c r="E101" s="4">
        <v>0.186008423555382</v>
      </c>
      <c r="F101">
        <v>0.21544906606200001</v>
      </c>
      <c r="G101" s="1">
        <f t="shared" si="52"/>
        <v>1.66239428676909</v>
      </c>
      <c r="H101" s="1">
        <f t="shared" si="53"/>
        <v>8.5847401897999998E-2</v>
      </c>
      <c r="I101" s="1">
        <f t="shared" si="54"/>
        <v>0.24879646491915</v>
      </c>
      <c r="J101" s="1">
        <f t="shared" si="55"/>
        <v>-0.66737903433345902</v>
      </c>
      <c r="K101" s="1">
        <f t="shared" si="56"/>
        <v>0.66239428676909096</v>
      </c>
      <c r="L101" s="1">
        <f t="shared" si="57"/>
        <v>0.40595733387979499</v>
      </c>
      <c r="M101" s="1">
        <f t="shared" si="58"/>
        <v>0.152382689276609</v>
      </c>
      <c r="N101" s="1">
        <f t="shared" si="59"/>
        <v>0.13220592436808501</v>
      </c>
      <c r="O101" s="1">
        <f t="shared" si="60"/>
        <v>0.19717422476969501</v>
      </c>
      <c r="P101" s="1">
        <f t="shared" si="61"/>
        <v>0.14614557849868701</v>
      </c>
      <c r="Q101" s="2">
        <f t="shared" si="62"/>
        <v>0.44688810917281002</v>
      </c>
      <c r="R101" s="1">
        <f t="shared" si="63"/>
        <v>2.6159049067069602</v>
      </c>
      <c r="S101" s="2">
        <f t="shared" si="64"/>
        <v>0.33721813757590502</v>
      </c>
      <c r="T101" s="1">
        <f t="shared" si="65"/>
        <v>-0.52217590861420005</v>
      </c>
      <c r="U101" s="1">
        <f t="shared" si="66"/>
        <v>0.25022465659825099</v>
      </c>
      <c r="V101" s="2">
        <f t="shared" si="67"/>
        <v>0.219776156641697</v>
      </c>
      <c r="W101" s="2">
        <f t="shared" si="68"/>
        <v>0.1330878664979</v>
      </c>
      <c r="X101" s="1">
        <f t="shared" si="69"/>
        <v>0.24387575732960801</v>
      </c>
      <c r="Y101" s="2">
        <f t="shared" si="70"/>
        <v>0.97308175872986602</v>
      </c>
      <c r="Z101" s="1">
        <f t="shared" si="71"/>
        <v>0.61737593240005795</v>
      </c>
      <c r="AA101" s="1">
        <f t="shared" si="72"/>
        <v>2.8501448571750001</v>
      </c>
      <c r="AB101" s="1">
        <f t="shared" si="73"/>
        <v>0.14890513281305001</v>
      </c>
      <c r="AC101" s="2">
        <f t="shared" si="74"/>
        <v>1.1582758562428901</v>
      </c>
      <c r="AD101" s="2">
        <f t="shared" si="75"/>
        <v>2.9440642506618001E-2</v>
      </c>
      <c r="AE101" s="1">
        <f t="shared" si="76"/>
        <v>7.3334395964755897E-2</v>
      </c>
      <c r="AF101" s="2">
        <f t="shared" si="77"/>
        <v>4.6465166899917101E-2</v>
      </c>
      <c r="AG101" s="5">
        <f t="shared" si="78"/>
        <v>4.8988404077346802E-2</v>
      </c>
      <c r="AH101" s="1">
        <f t="shared" si="79"/>
        <v>14.693256860777099</v>
      </c>
      <c r="AI101" s="1">
        <f t="shared" si="80"/>
        <v>0.15827585624288901</v>
      </c>
      <c r="AJ101" s="1">
        <f t="shared" si="81"/>
        <v>0.107736086402731</v>
      </c>
      <c r="AK101" s="2">
        <f t="shared" si="82"/>
        <v>5.5352714376607597E-2</v>
      </c>
      <c r="AL101" s="2">
        <f t="shared" si="83"/>
        <v>6.0825878965386902E-2</v>
      </c>
      <c r="AM101" s="1">
        <f t="shared" si="84"/>
        <v>2.6159049067069602</v>
      </c>
      <c r="AN101" s="1">
        <f t="shared" si="85"/>
        <v>0.103647223991282</v>
      </c>
      <c r="AO101" s="1">
        <f t="shared" si="86"/>
        <v>0.386210714858502</v>
      </c>
      <c r="AP101" s="1">
        <f t="shared" si="87"/>
        <v>2.2584472365608899</v>
      </c>
      <c r="AQ101" s="1">
        <f t="shared" si="88"/>
        <v>5.6406759391381997E-2</v>
      </c>
      <c r="AR101" s="1">
        <f t="shared" si="89"/>
        <v>0.178722929292219</v>
      </c>
      <c r="AS101" s="1">
        <f t="shared" si="90"/>
        <v>0.28404660899643902</v>
      </c>
      <c r="AT101" s="1">
        <f t="shared" si="91"/>
        <v>0.24404374398064199</v>
      </c>
      <c r="AU101" s="2">
        <f t="shared" si="92"/>
        <v>0.35025933030419998</v>
      </c>
      <c r="AV101" s="2">
        <f t="shared" si="93"/>
        <v>0.170231537982622</v>
      </c>
      <c r="AW101" s="2">
        <f t="shared" si="94"/>
        <v>0.44530951548501302</v>
      </c>
      <c r="AX101" s="2">
        <f t="shared" si="95"/>
        <v>-2.6966116884764E-2</v>
      </c>
      <c r="AY101" s="7">
        <f t="shared" si="96"/>
        <v>1.5502841501951199</v>
      </c>
      <c r="AZ101" s="2">
        <f t="shared" si="97"/>
        <v>5.4139244756371697E-2</v>
      </c>
      <c r="BA101" s="1">
        <f t="shared" si="98"/>
        <v>2.0290722479987102</v>
      </c>
      <c r="BB101" s="2">
        <f t="shared" si="99"/>
        <v>1.4213390819767101E-2</v>
      </c>
      <c r="BC101" s="1">
        <f t="shared" si="100"/>
        <v>0.50427384741000603</v>
      </c>
      <c r="BD101" s="1">
        <f t="shared" si="101"/>
        <v>-4.1695499941826796E-3</v>
      </c>
      <c r="BE101" s="2">
        <f t="shared" si="102"/>
        <v>-4.5600019441025999E-2</v>
      </c>
      <c r="BF101" s="1">
        <f t="shared" si="103"/>
        <v>0.29475658341281902</v>
      </c>
    </row>
    <row r="102" spans="1:58" customFormat="1" x14ac:dyDescent="0.15">
      <c r="A102" s="6">
        <v>200.5</v>
      </c>
      <c r="B102">
        <v>0.104894878617</v>
      </c>
      <c r="C102">
        <v>0.14525423374300001</v>
      </c>
      <c r="D102" s="4">
        <v>9.6196404107199998E-2</v>
      </c>
      <c r="E102" s="4">
        <v>0.200120332189344</v>
      </c>
      <c r="F102">
        <v>0.218558874328</v>
      </c>
      <c r="G102" s="1">
        <f t="shared" si="52"/>
        <v>1.50466439907493</v>
      </c>
      <c r="H102" s="1">
        <f t="shared" si="53"/>
        <v>7.3304640584999997E-2</v>
      </c>
      <c r="I102" s="1">
        <f t="shared" si="54"/>
        <v>0.20148982804295801</v>
      </c>
      <c r="J102" s="1">
        <f t="shared" si="55"/>
        <v>-0.69411165970931799</v>
      </c>
      <c r="K102" s="1">
        <f t="shared" si="56"/>
        <v>0.504664399074926</v>
      </c>
      <c r="L102" s="1">
        <f t="shared" si="57"/>
        <v>0.31888045250377101</v>
      </c>
      <c r="M102" s="1">
        <f t="shared" si="58"/>
        <v>0.12729253567713</v>
      </c>
      <c r="N102" s="1">
        <f t="shared" si="59"/>
        <v>0.110514817778211</v>
      </c>
      <c r="O102" s="1">
        <f t="shared" si="60"/>
        <v>0.16233534779559999</v>
      </c>
      <c r="P102" s="1">
        <f t="shared" si="61"/>
        <v>0.12153246243791201</v>
      </c>
      <c r="Q102" s="2">
        <f t="shared" si="62"/>
        <v>0.38875430724823001</v>
      </c>
      <c r="R102" s="1">
        <f t="shared" si="63"/>
        <v>2.27200669667902</v>
      </c>
      <c r="S102" s="2">
        <f t="shared" si="64"/>
        <v>0.29897606599333798</v>
      </c>
      <c r="T102" s="1">
        <f t="shared" si="65"/>
        <v>-0.57153534158274899</v>
      </c>
      <c r="U102" s="1">
        <f t="shared" si="66"/>
        <v>0.22527464404245401</v>
      </c>
      <c r="V102" s="2">
        <f t="shared" si="67"/>
        <v>0.19740446780923801</v>
      </c>
      <c r="W102" s="2">
        <f t="shared" si="68"/>
        <v>0.1223624702208</v>
      </c>
      <c r="X102" s="1">
        <f t="shared" si="69"/>
        <v>0.21810304294958699</v>
      </c>
      <c r="Y102" s="2">
        <f t="shared" si="70"/>
        <v>0.94273766618727495</v>
      </c>
      <c r="Z102" s="1">
        <f t="shared" si="71"/>
        <v>0.50731771590432295</v>
      </c>
      <c r="AA102" s="1">
        <f t="shared" si="72"/>
        <v>2.7815334590626999</v>
      </c>
      <c r="AB102" s="1">
        <f t="shared" si="73"/>
        <v>0.15737763921760001</v>
      </c>
      <c r="AC102" s="2">
        <f t="shared" si="74"/>
        <v>1.0921372752930001</v>
      </c>
      <c r="AD102" s="2">
        <f t="shared" si="75"/>
        <v>1.8438542138655999E-2</v>
      </c>
      <c r="AE102" s="1">
        <f t="shared" si="76"/>
        <v>4.4039784760345299E-2</v>
      </c>
      <c r="AF102" s="2">
        <f t="shared" si="77"/>
        <v>2.84961300369184E-2</v>
      </c>
      <c r="AG102" s="5">
        <f t="shared" si="78"/>
        <v>3.0106062063637001E-2</v>
      </c>
      <c r="AH102" s="1">
        <f t="shared" si="79"/>
        <v>8.8136579397150197</v>
      </c>
      <c r="AI102" s="1">
        <f t="shared" si="80"/>
        <v>9.2137275292999005E-2</v>
      </c>
      <c r="AJ102" s="1">
        <f t="shared" si="81"/>
        <v>6.3700123801358199E-2</v>
      </c>
      <c r="AK102" s="2">
        <f t="shared" si="82"/>
        <v>3.3946160202978901E-2</v>
      </c>
      <c r="AL102" s="2">
        <f t="shared" si="83"/>
        <v>3.69612535580192E-2</v>
      </c>
      <c r="AM102" s="1">
        <f t="shared" si="84"/>
        <v>2.27200669667902</v>
      </c>
      <c r="AN102" s="1">
        <f t="shared" si="85"/>
        <v>0.103923928082144</v>
      </c>
      <c r="AO102" s="1">
        <f t="shared" si="86"/>
        <v>0.35071906292238703</v>
      </c>
      <c r="AP102" s="1">
        <f t="shared" si="87"/>
        <v>2.0803306947558302</v>
      </c>
      <c r="AQ102" s="1">
        <f t="shared" si="88"/>
        <v>5.4866098446343999E-2</v>
      </c>
      <c r="AR102" s="1">
        <f t="shared" si="89"/>
        <v>0.15885969569945599</v>
      </c>
      <c r="AS102" s="1">
        <f t="shared" si="90"/>
        <v>0.17742345270168899</v>
      </c>
      <c r="AT102" s="1">
        <f t="shared" si="91"/>
        <v>0.25757336482110799</v>
      </c>
      <c r="AU102" s="2">
        <f t="shared" si="92"/>
        <v>0.35486516298263299</v>
      </c>
      <c r="AV102" s="2">
        <f t="shared" si="93"/>
        <v>0.186834260784879</v>
      </c>
      <c r="AW102" s="2">
        <f t="shared" si="94"/>
        <v>0.42448869167232101</v>
      </c>
      <c r="AX102" s="2">
        <f t="shared" si="95"/>
        <v>-3.6427556307688E-2</v>
      </c>
      <c r="AY102" s="7">
        <f t="shared" si="96"/>
        <v>1.6692322511139699</v>
      </c>
      <c r="AZ102" s="2">
        <f t="shared" si="97"/>
        <v>3.4662194600072901E-2</v>
      </c>
      <c r="BA102" s="1">
        <f t="shared" si="98"/>
        <v>2.4104332389712102</v>
      </c>
      <c r="BB102" s="2">
        <f t="shared" si="99"/>
        <v>4.1256730847199904E-3</v>
      </c>
      <c r="BC102" s="1">
        <f t="shared" si="100"/>
        <v>0.50422696244658805</v>
      </c>
      <c r="BD102" s="1">
        <f t="shared" si="101"/>
        <v>-2.4866342479071199E-2</v>
      </c>
      <c r="BE102" s="2">
        <f t="shared" si="102"/>
        <v>-5.90396128966321E-2</v>
      </c>
      <c r="BF102" s="1">
        <f t="shared" si="103"/>
        <v>0.21857075956685901</v>
      </c>
    </row>
    <row r="103" spans="1:58" customFormat="1" x14ac:dyDescent="0.15">
      <c r="A103" s="6">
        <v>196</v>
      </c>
      <c r="B103">
        <v>0.12367816944</v>
      </c>
      <c r="C103">
        <v>0.16234119626900001</v>
      </c>
      <c r="D103" s="4">
        <v>0.115169310835</v>
      </c>
      <c r="E103" s="4">
        <v>0.2194726970517</v>
      </c>
      <c r="F103">
        <v>0.22278871891900001</v>
      </c>
      <c r="G103" s="1">
        <f t="shared" si="52"/>
        <v>1.37234863386024</v>
      </c>
      <c r="H103" s="1">
        <f t="shared" si="53"/>
        <v>6.0447522650000002E-2</v>
      </c>
      <c r="I103" s="1">
        <f t="shared" si="54"/>
        <v>0.15695358959714301</v>
      </c>
      <c r="J103" s="1">
        <f t="shared" si="55"/>
        <v>-0.717207170294894</v>
      </c>
      <c r="K103" s="1">
        <f t="shared" si="56"/>
        <v>0.37234863386024503</v>
      </c>
      <c r="L103" s="1">
        <f t="shared" si="57"/>
        <v>0.24174667457063001</v>
      </c>
      <c r="M103" s="1">
        <f t="shared" si="58"/>
        <v>0.102438390590088</v>
      </c>
      <c r="N103" s="1">
        <f t="shared" si="59"/>
        <v>8.91259640591541E-2</v>
      </c>
      <c r="O103" s="1">
        <f t="shared" si="60"/>
        <v>0.12862828533234699</v>
      </c>
      <c r="P103" s="1">
        <f t="shared" si="61"/>
        <v>9.7403571095582203E-2</v>
      </c>
      <c r="Q103" s="2">
        <f t="shared" si="62"/>
        <v>0.31844015708795598</v>
      </c>
      <c r="R103" s="1">
        <f t="shared" si="63"/>
        <v>1.93444518599389</v>
      </c>
      <c r="S103" s="2">
        <f t="shared" si="64"/>
        <v>0.250700874206431</v>
      </c>
      <c r="T103" s="1">
        <f t="shared" si="65"/>
        <v>-0.62320083504866197</v>
      </c>
      <c r="U103" s="1">
        <f t="shared" si="66"/>
        <v>0.19264582042777401</v>
      </c>
      <c r="V103" s="2">
        <f t="shared" si="67"/>
        <v>0.16854624848880201</v>
      </c>
      <c r="W103" s="2">
        <f t="shared" si="68"/>
        <v>0.107619408084</v>
      </c>
      <c r="X103" s="1">
        <f t="shared" si="69"/>
        <v>0.185122503267382</v>
      </c>
      <c r="Y103" s="2">
        <f t="shared" si="70"/>
        <v>0.90467682466611099</v>
      </c>
      <c r="Z103" s="1">
        <f t="shared" si="71"/>
        <v>0.39084333625102902</v>
      </c>
      <c r="AA103" s="1">
        <f t="shared" si="72"/>
        <v>2.69294607841297</v>
      </c>
      <c r="AB103" s="1">
        <f t="shared" si="73"/>
        <v>0.16897901487700001</v>
      </c>
      <c r="AC103" s="2">
        <f t="shared" si="74"/>
        <v>1.0151090404950001</v>
      </c>
      <c r="AD103" s="2">
        <f t="shared" si="75"/>
        <v>3.3160218672999798E-3</v>
      </c>
      <c r="AE103" s="1">
        <f t="shared" si="76"/>
        <v>7.4978773810095902E-3</v>
      </c>
      <c r="AF103" s="2">
        <f t="shared" si="77"/>
        <v>4.9862937492451999E-3</v>
      </c>
      <c r="AG103" s="5">
        <f t="shared" si="78"/>
        <v>5.2788246622895198E-3</v>
      </c>
      <c r="AH103" s="1">
        <f t="shared" si="79"/>
        <v>1.49960357827714</v>
      </c>
      <c r="AI103" s="1">
        <f t="shared" si="80"/>
        <v>1.51090404949954E-2</v>
      </c>
      <c r="AJ103" s="1">
        <f t="shared" si="81"/>
        <v>1.06435770761612E-2</v>
      </c>
      <c r="AK103" s="2">
        <f t="shared" si="82"/>
        <v>5.9358972935795E-3</v>
      </c>
      <c r="AL103" s="2">
        <f t="shared" si="83"/>
        <v>6.38690320193967E-3</v>
      </c>
      <c r="AM103" s="1">
        <f t="shared" si="84"/>
        <v>1.93444518599389</v>
      </c>
      <c r="AN103" s="1">
        <f t="shared" si="85"/>
        <v>0.1043033862167</v>
      </c>
      <c r="AO103" s="1">
        <f t="shared" si="86"/>
        <v>0.31168647019358697</v>
      </c>
      <c r="AP103" s="1">
        <f t="shared" si="87"/>
        <v>1.9056526036361601</v>
      </c>
      <c r="AQ103" s="1">
        <f t="shared" si="88"/>
        <v>5.7131500782699997E-2</v>
      </c>
      <c r="AR103" s="1">
        <f t="shared" si="89"/>
        <v>0.14963180172889401</v>
      </c>
      <c r="AS103" s="1">
        <f t="shared" si="90"/>
        <v>3.1792082573528703E-2</v>
      </c>
      <c r="AT103" s="1">
        <f t="shared" si="91"/>
        <v>0.268508923022381</v>
      </c>
      <c r="AU103" s="2">
        <f t="shared" si="92"/>
        <v>0.36300322328856899</v>
      </c>
      <c r="AV103" s="2">
        <f t="shared" si="93"/>
        <v>0.20660739585520499</v>
      </c>
      <c r="AW103" s="2">
        <f t="shared" si="94"/>
        <v>0.39967068230283598</v>
      </c>
      <c r="AX103" s="2">
        <f t="shared" si="95"/>
        <v>-5.3815478915399999E-2</v>
      </c>
      <c r="AY103" s="7">
        <f t="shared" si="96"/>
        <v>1.7803774805980399</v>
      </c>
      <c r="AZ103" s="2">
        <f t="shared" si="97"/>
        <v>6.2705304516795296E-3</v>
      </c>
      <c r="BA103" s="1">
        <f t="shared" si="98"/>
        <v>2.7895997502738199</v>
      </c>
      <c r="BB103" s="2">
        <f t="shared" si="99"/>
        <v>-8.9060415675328904E-3</v>
      </c>
      <c r="BC103" s="1">
        <f t="shared" si="100"/>
        <v>0.50357279801898303</v>
      </c>
      <c r="BD103" s="1">
        <f t="shared" si="101"/>
        <v>-5.55991948453732E-2</v>
      </c>
      <c r="BE103" s="2">
        <f t="shared" si="102"/>
        <v>-8.4350069732100005E-2</v>
      </c>
      <c r="BF103" s="1">
        <f t="shared" si="103"/>
        <v>4.7771302333731697E-2</v>
      </c>
    </row>
    <row r="104" spans="1:58" customFormat="1" x14ac:dyDescent="0.15">
      <c r="A104" s="6">
        <v>206</v>
      </c>
      <c r="B104">
        <v>9.4305788562900006E-2</v>
      </c>
      <c r="C104">
        <v>0.137295617461</v>
      </c>
      <c r="D104" s="4">
        <v>9.1154555604299997E-2</v>
      </c>
      <c r="E104" s="4">
        <v>0.19497764671638601</v>
      </c>
      <c r="F104">
        <v>0.22955104454</v>
      </c>
      <c r="G104" s="1">
        <f t="shared" si="52"/>
        <v>1.67194735553162</v>
      </c>
      <c r="H104" s="1">
        <f t="shared" si="53"/>
        <v>9.2255427079000002E-2</v>
      </c>
      <c r="I104" s="1">
        <f t="shared" si="54"/>
        <v>0.25148225848855799</v>
      </c>
      <c r="J104" s="1">
        <f t="shared" si="55"/>
        <v>-0.66578701637179305</v>
      </c>
      <c r="K104" s="1">
        <f t="shared" si="56"/>
        <v>0.67194735553162099</v>
      </c>
      <c r="L104" s="1">
        <f t="shared" si="57"/>
        <v>0.41107522250131501</v>
      </c>
      <c r="M104" s="1">
        <f t="shared" si="58"/>
        <v>0.159639699481637</v>
      </c>
      <c r="N104" s="1">
        <f t="shared" si="59"/>
        <v>0.13986140377004</v>
      </c>
      <c r="O104" s="1">
        <f t="shared" si="60"/>
        <v>0.20312607658020401</v>
      </c>
      <c r="P104" s="1">
        <f t="shared" si="61"/>
        <v>0.15231744207297301</v>
      </c>
      <c r="Q104" s="2">
        <f t="shared" si="62"/>
        <v>0.43153748756937599</v>
      </c>
      <c r="R104" s="1">
        <f t="shared" si="63"/>
        <v>2.51826190164841</v>
      </c>
      <c r="S104" s="2">
        <f t="shared" si="64"/>
        <v>0.333967249637243</v>
      </c>
      <c r="T104" s="1">
        <f t="shared" si="65"/>
        <v>-0.53587249669423498</v>
      </c>
      <c r="U104" s="1">
        <f t="shared" si="66"/>
        <v>0.25294665147532802</v>
      </c>
      <c r="V104" s="2">
        <f t="shared" si="67"/>
        <v>0.22412869766759999</v>
      </c>
      <c r="W104" s="2">
        <f t="shared" si="68"/>
        <v>0.1383964889357</v>
      </c>
      <c r="X104" s="1">
        <f t="shared" si="69"/>
        <v>0.24438345509411</v>
      </c>
      <c r="Y104" s="2">
        <f t="shared" si="70"/>
        <v>0.96516189707705302</v>
      </c>
      <c r="Z104" s="1">
        <f t="shared" si="71"/>
        <v>0.58690324268633598</v>
      </c>
      <c r="AA104" s="1">
        <f t="shared" si="72"/>
        <v>2.8206467508475801</v>
      </c>
      <c r="AB104" s="1">
        <f t="shared" si="73"/>
        <v>0.16035280007215</v>
      </c>
      <c r="AC104" s="2">
        <f t="shared" si="74"/>
        <v>1.1773198025817999</v>
      </c>
      <c r="AD104" s="2">
        <f t="shared" si="75"/>
        <v>3.4573397823614002E-2</v>
      </c>
      <c r="AE104" s="1">
        <f t="shared" si="76"/>
        <v>8.1439484623040598E-2</v>
      </c>
      <c r="AF104" s="2">
        <f t="shared" si="77"/>
        <v>5.3062601711775098E-2</v>
      </c>
      <c r="AG104" s="5">
        <f t="shared" si="78"/>
        <v>5.6093550395873402E-2</v>
      </c>
      <c r="AH104" s="1">
        <f t="shared" si="79"/>
        <v>16.324050129674902</v>
      </c>
      <c r="AI104" s="1">
        <f t="shared" si="80"/>
        <v>0.17731980258180199</v>
      </c>
      <c r="AJ104" s="1">
        <f t="shared" si="81"/>
        <v>0.120170018456025</v>
      </c>
      <c r="AK104" s="2">
        <f t="shared" si="82"/>
        <v>6.3189646477741501E-2</v>
      </c>
      <c r="AL104" s="2">
        <f t="shared" si="83"/>
        <v>6.8611074315599804E-2</v>
      </c>
      <c r="AM104" s="1">
        <f t="shared" si="84"/>
        <v>2.51826190164841</v>
      </c>
      <c r="AN104" s="1">
        <f t="shared" si="85"/>
        <v>0.103823091112086</v>
      </c>
      <c r="AO104" s="1">
        <f t="shared" si="86"/>
        <v>0.36285007514017997</v>
      </c>
      <c r="AP104" s="1">
        <f t="shared" si="87"/>
        <v>2.1389786327606002</v>
      </c>
      <c r="AQ104" s="1">
        <f t="shared" si="88"/>
        <v>5.7682029255386E-2</v>
      </c>
      <c r="AR104" s="1">
        <f t="shared" si="89"/>
        <v>0.17359816594991601</v>
      </c>
      <c r="AS104" s="1">
        <f t="shared" si="90"/>
        <v>0.33300297123969302</v>
      </c>
      <c r="AT104" s="1">
        <f t="shared" si="91"/>
        <v>0.24437464760903299</v>
      </c>
      <c r="AU104" s="2">
        <f t="shared" si="92"/>
        <v>0.34704380656207101</v>
      </c>
      <c r="AV104" s="2">
        <f t="shared" si="93"/>
        <v>0.17676462471724599</v>
      </c>
      <c r="AW104" s="2">
        <f t="shared" si="94"/>
        <v>0.44513961998461898</v>
      </c>
      <c r="AX104" s="2">
        <f t="shared" si="95"/>
        <v>-2.3108631431772001E-2</v>
      </c>
      <c r="AY104" s="7">
        <f t="shared" si="96"/>
        <v>1.50014468869337</v>
      </c>
      <c r="AZ104" s="2">
        <f t="shared" si="97"/>
        <v>6.3103969895578399E-2</v>
      </c>
      <c r="BA104" s="1">
        <f t="shared" si="98"/>
        <v>2.0619573007569501</v>
      </c>
      <c r="BB104" s="2">
        <f t="shared" si="99"/>
        <v>1.8981117661129698E-2</v>
      </c>
      <c r="BC104" s="1">
        <f t="shared" si="100"/>
        <v>0.53969080313859996</v>
      </c>
      <c r="BD104" s="1">
        <f t="shared" si="101"/>
        <v>5.9580372517662001E-3</v>
      </c>
      <c r="BE104" s="2">
        <f t="shared" si="102"/>
        <v>-4.0198272772398E-2</v>
      </c>
      <c r="BF104" s="1">
        <f t="shared" si="103"/>
        <v>0.32383789263108598</v>
      </c>
    </row>
    <row r="105" spans="1:58" customFormat="1" x14ac:dyDescent="0.15">
      <c r="A105" s="6">
        <v>193.5</v>
      </c>
      <c r="B105">
        <v>7.7420332047099999E-2</v>
      </c>
      <c r="C105">
        <v>0.11684789969000001</v>
      </c>
      <c r="D105" s="4">
        <v>6.7308347087600001E-2</v>
      </c>
      <c r="E105" s="4">
        <v>0.170654514029352</v>
      </c>
      <c r="F105">
        <v>0.23669520007600001</v>
      </c>
      <c r="G105" s="1">
        <f t="shared" si="52"/>
        <v>2.02566927350819</v>
      </c>
      <c r="H105" s="1">
        <f t="shared" si="53"/>
        <v>0.119847300386</v>
      </c>
      <c r="I105" s="1">
        <f t="shared" si="54"/>
        <v>0.338989222149502</v>
      </c>
      <c r="J105" s="1">
        <f t="shared" si="55"/>
        <v>-0.60890650376507305</v>
      </c>
      <c r="K105" s="1">
        <f t="shared" si="56"/>
        <v>1.02566927350819</v>
      </c>
      <c r="L105" s="1">
        <f t="shared" si="57"/>
        <v>0.58965314313517003</v>
      </c>
      <c r="M105" s="1">
        <f t="shared" si="58"/>
        <v>0.21061730875486501</v>
      </c>
      <c r="N105" s="1">
        <f t="shared" si="59"/>
        <v>0.186217937109565</v>
      </c>
      <c r="O105" s="1">
        <f t="shared" si="60"/>
        <v>0.27071314659102003</v>
      </c>
      <c r="P105" s="1">
        <f t="shared" si="61"/>
        <v>0.20156126397343299</v>
      </c>
      <c r="Q105" s="2">
        <f t="shared" si="62"/>
        <v>0.55718709392967802</v>
      </c>
      <c r="R105" s="1">
        <f t="shared" si="63"/>
        <v>3.5165801912792101</v>
      </c>
      <c r="S105" s="2">
        <f t="shared" si="64"/>
        <v>0.423463895195752</v>
      </c>
      <c r="T105" s="1">
        <f t="shared" si="65"/>
        <v>-0.40648002468959898</v>
      </c>
      <c r="U105" s="1">
        <f t="shared" si="66"/>
        <v>0.31601885387067702</v>
      </c>
      <c r="V105" s="2">
        <f t="shared" si="67"/>
        <v>0.28509126758845199</v>
      </c>
      <c r="W105" s="2">
        <f t="shared" si="68"/>
        <v>0.16938685298840001</v>
      </c>
      <c r="X105" s="1">
        <f t="shared" si="69"/>
        <v>0.307213554984965</v>
      </c>
      <c r="Y105" s="2">
        <f t="shared" si="70"/>
        <v>1.02819603866659</v>
      </c>
      <c r="Z105" s="1">
        <f t="shared" si="71"/>
        <v>0.87525470037518105</v>
      </c>
      <c r="AA105" s="1">
        <f t="shared" si="72"/>
        <v>2.9600057767138201</v>
      </c>
      <c r="AB105" s="1">
        <f t="shared" si="73"/>
        <v>0.1520017735818</v>
      </c>
      <c r="AC105" s="2">
        <f t="shared" si="74"/>
        <v>1.3869847007697</v>
      </c>
      <c r="AD105" s="2">
        <f t="shared" si="75"/>
        <v>6.6040686046648006E-2</v>
      </c>
      <c r="AE105" s="1">
        <f t="shared" si="76"/>
        <v>0.16212282409892201</v>
      </c>
      <c r="AF105" s="2">
        <f t="shared" si="77"/>
        <v>0.10347319714453999</v>
      </c>
      <c r="AG105" s="5">
        <f t="shared" si="78"/>
        <v>0.10917623880848</v>
      </c>
      <c r="AH105" s="1">
        <f t="shared" si="79"/>
        <v>32.713211082463701</v>
      </c>
      <c r="AI105" s="1">
        <f t="shared" si="80"/>
        <v>0.38698470076970398</v>
      </c>
      <c r="AJ105" s="1">
        <f t="shared" si="81"/>
        <v>0.25047764884687901</v>
      </c>
      <c r="AK105" s="2">
        <f t="shared" si="82"/>
        <v>0.12320969157343099</v>
      </c>
      <c r="AL105" s="2">
        <f t="shared" si="83"/>
        <v>0.13502641124075099</v>
      </c>
      <c r="AM105" s="1">
        <f t="shared" si="84"/>
        <v>3.5165801912792101</v>
      </c>
      <c r="AN105" s="1">
        <f t="shared" si="85"/>
        <v>0.103346166941752</v>
      </c>
      <c r="AO105" s="1">
        <f t="shared" si="86"/>
        <v>0.43429536212779102</v>
      </c>
      <c r="AP105" s="1">
        <f t="shared" si="87"/>
        <v>2.53541382924245</v>
      </c>
      <c r="AQ105" s="1">
        <f t="shared" si="88"/>
        <v>5.3806614339352E-2</v>
      </c>
      <c r="AR105" s="1">
        <f t="shared" si="89"/>
        <v>0.18715186993830199</v>
      </c>
      <c r="AS105" s="1">
        <f t="shared" si="90"/>
        <v>0.63902404898935306</v>
      </c>
      <c r="AT105" s="1">
        <f t="shared" si="91"/>
        <v>0.222908110634051</v>
      </c>
      <c r="AU105" s="2">
        <f t="shared" si="92"/>
        <v>0.325553778838787</v>
      </c>
      <c r="AV105" s="2">
        <f t="shared" si="93"/>
        <v>0.14180386385608801</v>
      </c>
      <c r="AW105" s="2">
        <f t="shared" si="94"/>
        <v>0.498664658683173</v>
      </c>
      <c r="AX105" s="2">
        <f t="shared" si="95"/>
        <v>1.2234071707296E-2</v>
      </c>
      <c r="AY105" s="7">
        <f t="shared" si="96"/>
        <v>1.4133555986897099</v>
      </c>
      <c r="AZ105" s="2">
        <f t="shared" si="97"/>
        <v>0.119270478770328</v>
      </c>
      <c r="BA105" s="1">
        <f t="shared" si="98"/>
        <v>1.7260565988432</v>
      </c>
      <c r="BB105" s="2">
        <f t="shared" si="99"/>
        <v>5.8352146762249403E-2</v>
      </c>
      <c r="BC105" s="1">
        <f t="shared" si="100"/>
        <v>0.57521413870504401</v>
      </c>
      <c r="BD105" s="1">
        <f t="shared" si="101"/>
        <v>5.7159873976081299E-2</v>
      </c>
      <c r="BE105" s="2">
        <f t="shared" si="102"/>
        <v>1.1160269537784E-2</v>
      </c>
      <c r="BF105" s="1">
        <f t="shared" si="103"/>
        <v>0.47825362432148899</v>
      </c>
    </row>
    <row r="106" spans="1:58" customFormat="1" x14ac:dyDescent="0.15">
      <c r="A106" s="6">
        <v>197</v>
      </c>
      <c r="B106">
        <v>0.108818616799</v>
      </c>
      <c r="C106">
        <v>0.157286962822</v>
      </c>
      <c r="D106" s="4">
        <v>0.10961153472100001</v>
      </c>
      <c r="E106" s="4">
        <v>0.21380376541542001</v>
      </c>
      <c r="F106">
        <v>0.23817470611399999</v>
      </c>
      <c r="G106" s="1">
        <f t="shared" si="52"/>
        <v>1.5142685817103601</v>
      </c>
      <c r="H106" s="1">
        <f t="shared" si="53"/>
        <v>8.0887743292000006E-2</v>
      </c>
      <c r="I106" s="1">
        <f t="shared" si="54"/>
        <v>0.20454003420769101</v>
      </c>
      <c r="J106" s="1">
        <f t="shared" si="55"/>
        <v>-0.69245942417776096</v>
      </c>
      <c r="K106" s="1">
        <f t="shared" si="56"/>
        <v>0.51426858171036005</v>
      </c>
      <c r="L106" s="1">
        <f t="shared" si="57"/>
        <v>0.32432778680676999</v>
      </c>
      <c r="M106" s="1">
        <f t="shared" si="58"/>
        <v>0.13549615706294599</v>
      </c>
      <c r="N106" s="1">
        <f t="shared" si="59"/>
        <v>0.11920264683952</v>
      </c>
      <c r="O106" s="1">
        <f t="shared" si="60"/>
        <v>0.16892215514790301</v>
      </c>
      <c r="P106" s="1">
        <f t="shared" si="61"/>
        <v>0.12862652051551701</v>
      </c>
      <c r="Q106" s="2">
        <f t="shared" si="62"/>
        <v>0.369661465284919</v>
      </c>
      <c r="R106" s="1">
        <f t="shared" si="63"/>
        <v>2.17289819652866</v>
      </c>
      <c r="S106" s="2">
        <f t="shared" si="64"/>
        <v>0.29369302833146099</v>
      </c>
      <c r="T106" s="1">
        <f t="shared" si="65"/>
        <v>-0.58636011583171199</v>
      </c>
      <c r="U106" s="1">
        <f t="shared" si="66"/>
        <v>0.22746860918568801</v>
      </c>
      <c r="V106" s="2">
        <f t="shared" si="67"/>
        <v>0.201727547522876</v>
      </c>
      <c r="W106" s="2">
        <f t="shared" si="68"/>
        <v>0.128563171393</v>
      </c>
      <c r="X106" s="1">
        <f t="shared" si="69"/>
        <v>0.218001950263782</v>
      </c>
      <c r="Y106" s="2">
        <f t="shared" si="70"/>
        <v>0.93255641399591405</v>
      </c>
      <c r="Z106" s="1">
        <f t="shared" si="71"/>
        <v>0.474075370029859</v>
      </c>
      <c r="AA106" s="1">
        <f t="shared" si="72"/>
        <v>2.73806798350043</v>
      </c>
      <c r="AB106" s="1">
        <f t="shared" si="73"/>
        <v>0.17389312041749999</v>
      </c>
      <c r="AC106" s="2">
        <f t="shared" si="74"/>
        <v>1.11398742511025</v>
      </c>
      <c r="AD106" s="2">
        <f t="shared" si="75"/>
        <v>2.437094069858E-2</v>
      </c>
      <c r="AE106" s="1">
        <f t="shared" si="76"/>
        <v>5.3920578597721099E-2</v>
      </c>
      <c r="AF106" s="2">
        <f t="shared" si="77"/>
        <v>3.6250451354958101E-2</v>
      </c>
      <c r="AG106" s="5">
        <f t="shared" si="78"/>
        <v>3.8400459822520501E-2</v>
      </c>
      <c r="AH106" s="1">
        <f t="shared" si="79"/>
        <v>10.794585338954301</v>
      </c>
      <c r="AI106" s="1">
        <f t="shared" si="80"/>
        <v>0.11398742511025201</v>
      </c>
      <c r="AJ106" s="1">
        <f t="shared" si="81"/>
        <v>7.8398137189662695E-2</v>
      </c>
      <c r="AK106" s="2">
        <f t="shared" si="82"/>
        <v>4.3119844705034202E-2</v>
      </c>
      <c r="AL106" s="2">
        <f t="shared" si="83"/>
        <v>4.6194911300885003E-2</v>
      </c>
      <c r="AM106" s="1">
        <f t="shared" si="84"/>
        <v>2.17289819652866</v>
      </c>
      <c r="AN106" s="1">
        <f t="shared" si="85"/>
        <v>0.10419223069442</v>
      </c>
      <c r="AO106" s="1">
        <f t="shared" si="86"/>
        <v>0.32216234250658699</v>
      </c>
      <c r="AP106" s="1">
        <f t="shared" si="87"/>
        <v>1.950558998737</v>
      </c>
      <c r="AQ106" s="1">
        <f t="shared" si="88"/>
        <v>5.6516802593419999E-2</v>
      </c>
      <c r="AR106" s="1">
        <f t="shared" si="89"/>
        <v>0.15229915029636901</v>
      </c>
      <c r="AS106" s="1">
        <f t="shared" si="90"/>
        <v>0.23390362732569001</v>
      </c>
      <c r="AT106" s="1">
        <f t="shared" si="91"/>
        <v>0.258158355872324</v>
      </c>
      <c r="AU106" s="2">
        <f t="shared" si="92"/>
        <v>0.35092055672421302</v>
      </c>
      <c r="AV106" s="2">
        <f t="shared" si="93"/>
        <v>0.19518070745746599</v>
      </c>
      <c r="AW106" s="2">
        <f t="shared" si="94"/>
        <v>0.42410780723151797</v>
      </c>
      <c r="AX106" s="2">
        <f t="shared" si="95"/>
        <v>-3.2145861894840103E-2</v>
      </c>
      <c r="AY106" s="7">
        <f t="shared" si="96"/>
        <v>1.5894023761906</v>
      </c>
      <c r="AZ106" s="2">
        <f t="shared" si="97"/>
        <v>4.5422578254555201E-2</v>
      </c>
      <c r="BA106" s="1">
        <f t="shared" si="98"/>
        <v>2.4667660313452902</v>
      </c>
      <c r="BB106" s="2">
        <f t="shared" si="99"/>
        <v>9.1273357017588996E-3</v>
      </c>
      <c r="BC106" s="1">
        <f t="shared" si="100"/>
        <v>0.55265779257663805</v>
      </c>
      <c r="BD106" s="1">
        <f t="shared" si="101"/>
        <v>-1.2817831662717801E-2</v>
      </c>
      <c r="BE106" s="2">
        <f t="shared" si="102"/>
        <v>-5.30720574397801E-2</v>
      </c>
      <c r="BF106" s="1">
        <f t="shared" si="103"/>
        <v>0.26361870333398801</v>
      </c>
    </row>
    <row r="107" spans="1:58" customFormat="1" x14ac:dyDescent="0.15">
      <c r="A107" s="6">
        <v>241.5</v>
      </c>
      <c r="B107">
        <v>9.6882445637800005E-2</v>
      </c>
      <c r="C107">
        <v>0.12621142544</v>
      </c>
      <c r="D107" s="4">
        <v>7.4698588106200003E-2</v>
      </c>
      <c r="E107" s="4">
        <v>0.178192559868324</v>
      </c>
      <c r="F107">
        <v>0.282194812967</v>
      </c>
      <c r="G107" s="1">
        <f t="shared" si="52"/>
        <v>2.2358895954404199</v>
      </c>
      <c r="H107" s="1">
        <f t="shared" si="53"/>
        <v>0.155983387527</v>
      </c>
      <c r="I107" s="1">
        <f t="shared" si="54"/>
        <v>0.38193194143022302</v>
      </c>
      <c r="J107" s="1">
        <f t="shared" si="55"/>
        <v>-0.57690558511100898</v>
      </c>
      <c r="K107" s="1">
        <f t="shared" si="56"/>
        <v>1.2358895954404201</v>
      </c>
      <c r="L107" s="1">
        <f t="shared" si="57"/>
        <v>0.68704127429141504</v>
      </c>
      <c r="M107" s="1">
        <f t="shared" si="58"/>
        <v>0.25756657252905202</v>
      </c>
      <c r="N107" s="1">
        <f t="shared" si="59"/>
        <v>0.234598291449122</v>
      </c>
      <c r="O107" s="1">
        <f t="shared" si="60"/>
        <v>0.31832995013991999</v>
      </c>
      <c r="P107" s="1">
        <f t="shared" si="61"/>
        <v>0.244079982852035</v>
      </c>
      <c r="Q107" s="2">
        <f t="shared" si="62"/>
        <v>0.58139552100668201</v>
      </c>
      <c r="R107" s="1">
        <f t="shared" si="63"/>
        <v>3.7777797428486801</v>
      </c>
      <c r="S107" s="2">
        <f t="shared" si="64"/>
        <v>0.46565814216003498</v>
      </c>
      <c r="T107" s="1">
        <f t="shared" si="65"/>
        <v>-0.37614656570614502</v>
      </c>
      <c r="U107" s="1">
        <f t="shared" si="66"/>
        <v>0.36322410337317101</v>
      </c>
      <c r="V107" s="2">
        <f t="shared" si="67"/>
        <v>0.33853246871082998</v>
      </c>
      <c r="W107" s="2">
        <f t="shared" si="68"/>
        <v>0.20749622486079999</v>
      </c>
      <c r="X107" s="1">
        <f t="shared" si="69"/>
        <v>0.34732891581304398</v>
      </c>
      <c r="Y107" s="2">
        <f t="shared" si="70"/>
        <v>1.0399016881449299</v>
      </c>
      <c r="Z107" s="1">
        <f t="shared" si="71"/>
        <v>0.94365113712535498</v>
      </c>
      <c r="AA107" s="1">
        <f t="shared" si="72"/>
        <v>2.9835589585350499</v>
      </c>
      <c r="AB107" s="1">
        <f t="shared" si="73"/>
        <v>0.1784467005366</v>
      </c>
      <c r="AC107" s="2">
        <f t="shared" si="74"/>
        <v>1.5836509289474801</v>
      </c>
      <c r="AD107" s="2">
        <f t="shared" si="75"/>
        <v>0.104002253098676</v>
      </c>
      <c r="AE107" s="1">
        <f t="shared" si="76"/>
        <v>0.22590161945183601</v>
      </c>
      <c r="AF107" s="2">
        <f t="shared" si="77"/>
        <v>0.15327843097328001</v>
      </c>
      <c r="AG107" s="5">
        <f t="shared" si="78"/>
        <v>0.162437974572125</v>
      </c>
      <c r="AH107" s="1">
        <f t="shared" si="79"/>
        <v>45.973289596728598</v>
      </c>
      <c r="AI107" s="1">
        <f t="shared" si="80"/>
        <v>0.58365092894747606</v>
      </c>
      <c r="AJ107" s="1">
        <f t="shared" si="81"/>
        <v>0.36310837231301002</v>
      </c>
      <c r="AK107" s="2">
        <f t="shared" si="82"/>
        <v>0.18205692732915299</v>
      </c>
      <c r="AL107" s="2">
        <f t="shared" si="83"/>
        <v>0.194463360920931</v>
      </c>
      <c r="AM107" s="1">
        <f t="shared" si="84"/>
        <v>3.7777797428486801</v>
      </c>
      <c r="AN107" s="1">
        <f t="shared" si="85"/>
        <v>0.10349397176212401</v>
      </c>
      <c r="AO107" s="1">
        <f t="shared" si="86"/>
        <v>0.40924315695126601</v>
      </c>
      <c r="AP107" s="1">
        <f t="shared" si="87"/>
        <v>2.3854876562724998</v>
      </c>
      <c r="AQ107" s="1">
        <f t="shared" si="88"/>
        <v>5.1981134428324E-2</v>
      </c>
      <c r="AR107" s="1">
        <f t="shared" si="89"/>
        <v>0.170763646131878</v>
      </c>
      <c r="AS107" s="1">
        <f t="shared" si="90"/>
        <v>1.0049112168360901</v>
      </c>
      <c r="AT107" s="1">
        <f t="shared" si="91"/>
        <v>0.21515800204684701</v>
      </c>
      <c r="AU107" s="2">
        <f t="shared" si="92"/>
        <v>0.30377245980086098</v>
      </c>
      <c r="AV107" s="2">
        <f t="shared" si="93"/>
        <v>0.139601098811791</v>
      </c>
      <c r="AW107" s="2">
        <f t="shared" si="94"/>
        <v>0.52738220317060303</v>
      </c>
      <c r="AX107" s="2">
        <f t="shared" si="95"/>
        <v>5.2021118670351897E-2</v>
      </c>
      <c r="AY107" s="7">
        <f t="shared" si="96"/>
        <v>1.3302456636600699</v>
      </c>
      <c r="AZ107" s="2">
        <f t="shared" si="97"/>
        <v>0.185088416025321</v>
      </c>
      <c r="BA107" s="1">
        <f t="shared" si="98"/>
        <v>1.7138745620046001</v>
      </c>
      <c r="BB107" s="2">
        <f t="shared" si="99"/>
        <v>0.115298617420847</v>
      </c>
      <c r="BC107" s="1">
        <f t="shared" si="100"/>
        <v>0.70302125987199204</v>
      </c>
      <c r="BD107" s="1">
        <f t="shared" si="101"/>
        <v>0.114845805743688</v>
      </c>
      <c r="BE107" s="2">
        <f t="shared" si="102"/>
        <v>6.8672674753907897E-2</v>
      </c>
      <c r="BF107" s="1">
        <f t="shared" si="103"/>
        <v>0.59147087464300796</v>
      </c>
    </row>
    <row r="108" spans="1:58" customFormat="1" x14ac:dyDescent="0.15">
      <c r="A108" s="6">
        <v>225</v>
      </c>
      <c r="B108">
        <v>0.10468684908299999</v>
      </c>
      <c r="C108">
        <v>0.12527386047799999</v>
      </c>
      <c r="D108" s="4">
        <v>7.6709337448600007E-2</v>
      </c>
      <c r="E108" s="4">
        <v>0.180243524197572</v>
      </c>
      <c r="F108">
        <v>0.24851384028099999</v>
      </c>
      <c r="G108" s="1">
        <f t="shared" si="52"/>
        <v>1.9837645246403399</v>
      </c>
      <c r="H108" s="1">
        <f t="shared" si="53"/>
        <v>0.123239979803</v>
      </c>
      <c r="I108" s="1">
        <f t="shared" si="54"/>
        <v>0.32970581844387398</v>
      </c>
      <c r="J108" s="1">
        <f t="shared" si="55"/>
        <v>-0.61544136695240004</v>
      </c>
      <c r="K108" s="1">
        <f t="shared" si="56"/>
        <v>0.98376452464034103</v>
      </c>
      <c r="L108" s="1">
        <f t="shared" si="57"/>
        <v>0.56951987476522004</v>
      </c>
      <c r="M108" s="1">
        <f t="shared" si="58"/>
        <v>0.21156165226853699</v>
      </c>
      <c r="N108" s="1">
        <f t="shared" si="59"/>
        <v>0.18834153689015001</v>
      </c>
      <c r="O108" s="1">
        <f t="shared" si="60"/>
        <v>0.267818790819282</v>
      </c>
      <c r="P108" s="1">
        <f t="shared" si="61"/>
        <v>0.20157613550704501</v>
      </c>
      <c r="Q108" s="2">
        <f t="shared" si="62"/>
        <v>0.52826647852030795</v>
      </c>
      <c r="R108" s="1">
        <f t="shared" si="63"/>
        <v>3.2396817460132499</v>
      </c>
      <c r="S108" s="2">
        <f t="shared" si="64"/>
        <v>0.41072486318170898</v>
      </c>
      <c r="T108" s="1">
        <f t="shared" si="65"/>
        <v>-0.440131767944406</v>
      </c>
      <c r="U108" s="1">
        <f t="shared" si="66"/>
        <v>0.31228734384026502</v>
      </c>
      <c r="V108" s="2">
        <f t="shared" si="67"/>
        <v>0.28304207590918501</v>
      </c>
      <c r="W108" s="2">
        <f t="shared" si="68"/>
        <v>0.17180450283240001</v>
      </c>
      <c r="X108" s="1">
        <f t="shared" si="69"/>
        <v>0.301261613394744</v>
      </c>
      <c r="Y108" s="2">
        <f t="shared" si="70"/>
        <v>1.01403475212653</v>
      </c>
      <c r="Z108" s="1">
        <f t="shared" si="71"/>
        <v>0.79991159394378297</v>
      </c>
      <c r="AA108" s="1">
        <f t="shared" si="72"/>
        <v>2.9229607818116499</v>
      </c>
      <c r="AB108" s="1">
        <f t="shared" si="73"/>
        <v>0.16261158886480001</v>
      </c>
      <c r="AC108" s="2">
        <f t="shared" si="74"/>
        <v>1.3787670951694999</v>
      </c>
      <c r="AD108" s="2">
        <f t="shared" si="75"/>
        <v>6.8270316083427998E-2</v>
      </c>
      <c r="AE108" s="1">
        <f t="shared" si="76"/>
        <v>0.15922832291511599</v>
      </c>
      <c r="AF108" s="2">
        <f t="shared" si="77"/>
        <v>0.104262015781631</v>
      </c>
      <c r="AG108" s="5">
        <f t="shared" si="78"/>
        <v>0.110260739824803</v>
      </c>
      <c r="AH108" s="1">
        <f t="shared" si="79"/>
        <v>32.118969054370403</v>
      </c>
      <c r="AI108" s="1">
        <f t="shared" si="80"/>
        <v>0.37876709516950102</v>
      </c>
      <c r="AJ108" s="1">
        <f t="shared" si="81"/>
        <v>0.245581858734047</v>
      </c>
      <c r="AK108" s="2">
        <f t="shared" si="82"/>
        <v>0.12409427763152001</v>
      </c>
      <c r="AL108" s="2">
        <f t="shared" si="83"/>
        <v>0.13450968333434499</v>
      </c>
      <c r="AM108" s="1">
        <f t="shared" si="84"/>
        <v>3.2396817460132499</v>
      </c>
      <c r="AN108" s="1">
        <f t="shared" si="85"/>
        <v>0.103534186748972</v>
      </c>
      <c r="AO108" s="1">
        <f t="shared" si="86"/>
        <v>0.40293066240118403</v>
      </c>
      <c r="AP108" s="1">
        <f t="shared" si="87"/>
        <v>2.34969470722318</v>
      </c>
      <c r="AQ108" s="1">
        <f t="shared" si="88"/>
        <v>5.4969663719572001E-2</v>
      </c>
      <c r="AR108" s="1">
        <f t="shared" si="89"/>
        <v>0.179923194151273</v>
      </c>
      <c r="AS108" s="1">
        <f t="shared" si="90"/>
        <v>0.65939877664713298</v>
      </c>
      <c r="AT108" s="1">
        <f t="shared" si="91"/>
        <v>0.226113357578031</v>
      </c>
      <c r="AU108" s="2">
        <f t="shared" si="92"/>
        <v>0.325330985111354</v>
      </c>
      <c r="AV108" s="2">
        <f t="shared" si="93"/>
        <v>0.151759427784528</v>
      </c>
      <c r="AW108" s="2">
        <f t="shared" si="94"/>
        <v>0.49165224797895002</v>
      </c>
      <c r="AX108" s="2">
        <f t="shared" si="95"/>
        <v>1.3300652363856E-2</v>
      </c>
      <c r="AY108" s="7">
        <f t="shared" si="96"/>
        <v>1.39406467858102</v>
      </c>
      <c r="AZ108" s="2">
        <f t="shared" si="97"/>
        <v>0.122751156876289</v>
      </c>
      <c r="BA108" s="1">
        <f t="shared" si="98"/>
        <v>1.7890055259498101</v>
      </c>
      <c r="BB108" s="2">
        <f t="shared" si="99"/>
        <v>6.0145019600305598E-2</v>
      </c>
      <c r="BC108" s="1">
        <f t="shared" si="100"/>
        <v>0.603944962105325</v>
      </c>
      <c r="BD108" s="1">
        <f t="shared" si="101"/>
        <v>6.2683911065922901E-2</v>
      </c>
      <c r="BE108" s="2">
        <f t="shared" si="102"/>
        <v>1.25565797576039E-2</v>
      </c>
      <c r="BF108" s="1">
        <f t="shared" si="103"/>
        <v>0.48294059130236799</v>
      </c>
    </row>
    <row r="109" spans="1:58" customFormat="1" x14ac:dyDescent="0.15">
      <c r="A109" s="6">
        <v>205</v>
      </c>
      <c r="B109">
        <v>0.159828276662</v>
      </c>
      <c r="C109">
        <v>0.19445733163000001</v>
      </c>
      <c r="D109" s="4">
        <v>0.14121804912899999</v>
      </c>
      <c r="E109" s="4">
        <v>0.24604241011158001</v>
      </c>
      <c r="F109">
        <v>0.25382065595699999</v>
      </c>
      <c r="G109" s="1">
        <f t="shared" si="52"/>
        <v>1.30527686371812</v>
      </c>
      <c r="H109" s="1">
        <f t="shared" si="53"/>
        <v>5.9363324326999999E-2</v>
      </c>
      <c r="I109" s="1">
        <f t="shared" si="54"/>
        <v>0.13242524944519801</v>
      </c>
      <c r="J109" s="1">
        <f t="shared" si="55"/>
        <v>-0.72915662382167601</v>
      </c>
      <c r="K109" s="1">
        <f t="shared" si="56"/>
        <v>0.30527686371811602</v>
      </c>
      <c r="L109" s="1">
        <f t="shared" si="57"/>
        <v>0.201063086686043</v>
      </c>
      <c r="M109" s="1">
        <f t="shared" si="58"/>
        <v>9.39017752769786E-2</v>
      </c>
      <c r="N109" s="1">
        <f t="shared" si="59"/>
        <v>8.3358924988377298E-2</v>
      </c>
      <c r="O109" s="1">
        <f t="shared" si="60"/>
        <v>0.113207213847223</v>
      </c>
      <c r="P109" s="1">
        <f t="shared" si="61"/>
        <v>8.8663425559241602E-2</v>
      </c>
      <c r="Q109" s="2">
        <f t="shared" si="62"/>
        <v>0.28504196013777</v>
      </c>
      <c r="R109" s="1">
        <f t="shared" si="63"/>
        <v>1.7973669621022701</v>
      </c>
      <c r="S109" s="2">
        <f t="shared" si="64"/>
        <v>0.235333180773837</v>
      </c>
      <c r="T109" s="1">
        <f t="shared" si="65"/>
        <v>-0.64516432039509097</v>
      </c>
      <c r="U109" s="1">
        <f t="shared" si="66"/>
        <v>0.18871129179354401</v>
      </c>
      <c r="V109" s="2">
        <f t="shared" si="67"/>
        <v>0.16812417509729599</v>
      </c>
      <c r="W109" s="2">
        <f t="shared" si="68"/>
        <v>0.112602606828</v>
      </c>
      <c r="X109" s="1">
        <f t="shared" si="69"/>
        <v>0.179154870899107</v>
      </c>
      <c r="Y109" s="2">
        <f t="shared" si="70"/>
        <v>0.886025936492702</v>
      </c>
      <c r="Z109" s="1">
        <f t="shared" si="71"/>
        <v>0.34065915209730702</v>
      </c>
      <c r="AA109" s="1">
        <f t="shared" si="72"/>
        <v>2.6105700664753799</v>
      </c>
      <c r="AB109" s="1">
        <f t="shared" si="73"/>
        <v>0.19751935254299999</v>
      </c>
      <c r="AC109" s="2">
        <f t="shared" si="74"/>
        <v>1.03161343543128</v>
      </c>
      <c r="AD109" s="2">
        <f t="shared" si="75"/>
        <v>7.7782458454199697E-3</v>
      </c>
      <c r="AE109" s="1">
        <f t="shared" si="76"/>
        <v>1.55607532810852E-2</v>
      </c>
      <c r="AF109" s="2">
        <f t="shared" si="77"/>
        <v>1.1001607362572399E-2</v>
      </c>
      <c r="AG109" s="5">
        <f t="shared" si="78"/>
        <v>1.1668966645608399E-2</v>
      </c>
      <c r="AH109" s="1">
        <f t="shared" si="79"/>
        <v>3.1124018817020498</v>
      </c>
      <c r="AI109" s="1">
        <f t="shared" si="80"/>
        <v>3.1613435431284302E-2</v>
      </c>
      <c r="AJ109" s="1">
        <f t="shared" si="81"/>
        <v>2.2179469540855399E-2</v>
      </c>
      <c r="AK109" s="2">
        <f t="shared" si="82"/>
        <v>1.30356024849326E-2</v>
      </c>
      <c r="AL109" s="2">
        <f t="shared" si="83"/>
        <v>1.36736932928285E-2</v>
      </c>
      <c r="AM109" s="1">
        <f t="shared" si="84"/>
        <v>1.7973669621022701</v>
      </c>
      <c r="AN109" s="1">
        <f t="shared" si="85"/>
        <v>0.10482436098257999</v>
      </c>
      <c r="AO109" s="1">
        <f t="shared" si="86"/>
        <v>0.27068180724709501</v>
      </c>
      <c r="AP109" s="1">
        <f t="shared" si="87"/>
        <v>1.7422872758058401</v>
      </c>
      <c r="AQ109" s="1">
        <f t="shared" si="88"/>
        <v>5.1585078481579998E-2</v>
      </c>
      <c r="AR109" s="1">
        <f t="shared" si="89"/>
        <v>0.117105808683635</v>
      </c>
      <c r="AS109" s="1">
        <f t="shared" si="90"/>
        <v>7.4202654540508797E-2</v>
      </c>
      <c r="AT109" s="1">
        <f t="shared" si="91"/>
        <v>0.28006858544636698</v>
      </c>
      <c r="AU109" s="2">
        <f t="shared" si="92"/>
        <v>0.35436436971623098</v>
      </c>
      <c r="AV109" s="2">
        <f t="shared" si="93"/>
        <v>0.22028109357967399</v>
      </c>
      <c r="AW109" s="2">
        <f t="shared" si="94"/>
        <v>0.39592595997586499</v>
      </c>
      <c r="AX109" s="2">
        <f t="shared" si="95"/>
        <v>-4.3806832636159997E-2</v>
      </c>
      <c r="AY109" s="7">
        <f t="shared" si="96"/>
        <v>1.89683795684578</v>
      </c>
      <c r="AZ109" s="2">
        <f t="shared" si="97"/>
        <v>1.52916990471251E-2</v>
      </c>
      <c r="BA109" s="1">
        <f t="shared" si="98"/>
        <v>3.5754720127863102</v>
      </c>
      <c r="BB109" s="2">
        <f t="shared" si="99"/>
        <v>-4.2238576712967796E-3</v>
      </c>
      <c r="BC109" s="1">
        <f t="shared" si="100"/>
        <v>0.57664416820239595</v>
      </c>
      <c r="BD109" s="1">
        <f t="shared" si="101"/>
        <v>-4.6362679704750803E-2</v>
      </c>
      <c r="BE109" s="2">
        <f t="shared" si="102"/>
        <v>-6.9272048413860005E-2</v>
      </c>
      <c r="BF109" s="1">
        <f t="shared" si="103"/>
        <v>0.117505938982767</v>
      </c>
    </row>
    <row r="110" spans="1:58" customFormat="1" x14ac:dyDescent="0.15">
      <c r="A110" s="6">
        <v>223</v>
      </c>
      <c r="B110">
        <v>9.2244824941100007E-2</v>
      </c>
      <c r="C110">
        <v>0.130851697366</v>
      </c>
      <c r="D110" s="4">
        <v>7.2496376139499996E-2</v>
      </c>
      <c r="E110" s="4">
        <v>0.17594630366229</v>
      </c>
      <c r="F110">
        <v>0.299006953219</v>
      </c>
      <c r="G110" s="1">
        <f t="shared" si="52"/>
        <v>2.2850827252371002</v>
      </c>
      <c r="H110" s="1">
        <f t="shared" si="53"/>
        <v>0.16815525585300001</v>
      </c>
      <c r="I110" s="1">
        <f t="shared" si="54"/>
        <v>0.39118732547118801</v>
      </c>
      <c r="J110" s="1">
        <f t="shared" si="55"/>
        <v>-0.56960007733116702</v>
      </c>
      <c r="K110" s="1">
        <f t="shared" si="56"/>
        <v>1.2850827252371</v>
      </c>
      <c r="L110" s="1">
        <f t="shared" si="57"/>
        <v>0.70901909303962196</v>
      </c>
      <c r="M110" s="1">
        <f t="shared" si="58"/>
        <v>0.27125938294042101</v>
      </c>
      <c r="N110" s="1">
        <f t="shared" si="59"/>
        <v>0.24936925474271299</v>
      </c>
      <c r="O110" s="1">
        <f t="shared" si="60"/>
        <v>0.33068955858497101</v>
      </c>
      <c r="P110" s="1">
        <f t="shared" si="61"/>
        <v>0.25647651900526602</v>
      </c>
      <c r="Q110" s="2">
        <f t="shared" si="62"/>
        <v>0.60971345121087095</v>
      </c>
      <c r="R110" s="1">
        <f t="shared" si="63"/>
        <v>4.1244399946783599</v>
      </c>
      <c r="S110" s="2">
        <f t="shared" si="64"/>
        <v>0.49435677050104299</v>
      </c>
      <c r="T110" s="1">
        <f t="shared" si="65"/>
        <v>-0.33785277897063198</v>
      </c>
      <c r="U110" s="1">
        <f t="shared" si="66"/>
        <v>0.38986181024614802</v>
      </c>
      <c r="V110" s="2">
        <f t="shared" si="67"/>
        <v>0.36843645128777203</v>
      </c>
      <c r="W110" s="2">
        <f t="shared" si="68"/>
        <v>0.22651057707950001</v>
      </c>
      <c r="X110" s="1">
        <f t="shared" si="69"/>
        <v>0.37162689042493702</v>
      </c>
      <c r="Y110" s="2">
        <f t="shared" si="70"/>
        <v>1.0534293764704299</v>
      </c>
      <c r="Z110" s="1">
        <f t="shared" si="71"/>
        <v>1.03087173269962</v>
      </c>
      <c r="AA110" s="1">
        <f t="shared" si="72"/>
        <v>3.023250593387</v>
      </c>
      <c r="AB110" s="1">
        <f t="shared" si="73"/>
        <v>0.18575166467925</v>
      </c>
      <c r="AC110" s="2">
        <f t="shared" si="74"/>
        <v>1.6994216246390199</v>
      </c>
      <c r="AD110" s="2">
        <f t="shared" si="75"/>
        <v>0.12306064955671001</v>
      </c>
      <c r="AE110" s="1">
        <f t="shared" si="76"/>
        <v>0.25910054889352602</v>
      </c>
      <c r="AF110" s="2">
        <f t="shared" si="77"/>
        <v>0.17856394330137701</v>
      </c>
      <c r="AG110" s="5">
        <f t="shared" si="78"/>
        <v>0.18933315318679</v>
      </c>
      <c r="AH110" s="1">
        <f t="shared" si="79"/>
        <v>53.028797237337002</v>
      </c>
      <c r="AI110" s="1">
        <f t="shared" si="80"/>
        <v>0.69942162463902402</v>
      </c>
      <c r="AJ110" s="1">
        <f t="shared" si="81"/>
        <v>0.42570004328396899</v>
      </c>
      <c r="AK110" s="2">
        <f t="shared" si="82"/>
        <v>0.21180753775311401</v>
      </c>
      <c r="AL110" s="2">
        <f t="shared" si="83"/>
        <v>0.22482025556799701</v>
      </c>
      <c r="AM110" s="1">
        <f t="shared" si="84"/>
        <v>4.1244399946783599</v>
      </c>
      <c r="AN110" s="1">
        <f t="shared" si="85"/>
        <v>0.10344992752279</v>
      </c>
      <c r="AO110" s="1">
        <f t="shared" si="86"/>
        <v>0.41639354238701398</v>
      </c>
      <c r="AP110" s="1">
        <f t="shared" si="87"/>
        <v>2.4269668779544</v>
      </c>
      <c r="AQ110" s="1">
        <f t="shared" si="88"/>
        <v>4.5094606296290002E-2</v>
      </c>
      <c r="AR110" s="1">
        <f t="shared" si="89"/>
        <v>0.14698468094690001</v>
      </c>
      <c r="AS110" s="1">
        <f t="shared" si="90"/>
        <v>1.1895672863530999</v>
      </c>
      <c r="AT110" s="1">
        <f t="shared" si="91"/>
        <v>0.215996413447266</v>
      </c>
      <c r="AU110" s="2">
        <f t="shared" si="92"/>
        <v>0.290433913471214</v>
      </c>
      <c r="AV110" s="2">
        <f t="shared" si="93"/>
        <v>0.132425654830509</v>
      </c>
      <c r="AW110" s="2">
        <f t="shared" si="94"/>
        <v>0.54618166710442395</v>
      </c>
      <c r="AX110" s="2">
        <f t="shared" si="95"/>
        <v>7.7966043260420004E-2</v>
      </c>
      <c r="AY110" s="7">
        <f t="shared" si="96"/>
        <v>1.3470323953329999</v>
      </c>
      <c r="AZ110" s="2">
        <f t="shared" si="97"/>
        <v>0.22402409225564299</v>
      </c>
      <c r="BA110" s="1">
        <f t="shared" si="98"/>
        <v>1.80428742326383</v>
      </c>
      <c r="BB110" s="2">
        <f t="shared" si="99"/>
        <v>0.151978593380139</v>
      </c>
      <c r="BC110" s="1">
        <f t="shared" si="100"/>
        <v>0.75315089621919395</v>
      </c>
      <c r="BD110" s="1">
        <f t="shared" si="101"/>
        <v>0.13821976493110999</v>
      </c>
      <c r="BE110" s="2">
        <f t="shared" si="102"/>
        <v>0.10685974953945</v>
      </c>
      <c r="BF110" s="1">
        <f t="shared" si="103"/>
        <v>0.66234392584534096</v>
      </c>
    </row>
    <row r="111" spans="1:58" customFormat="1" x14ac:dyDescent="0.15">
      <c r="A111" s="6">
        <v>202</v>
      </c>
      <c r="B111">
        <v>0.119434294207</v>
      </c>
      <c r="C111">
        <v>0.15791122008399999</v>
      </c>
      <c r="D111" s="4">
        <v>0.101913878165</v>
      </c>
      <c r="E111" s="4">
        <v>0.2059521557283</v>
      </c>
      <c r="F111">
        <v>0.27884508188599999</v>
      </c>
      <c r="G111" s="1">
        <f t="shared" si="52"/>
        <v>1.7658345096546599</v>
      </c>
      <c r="H111" s="1">
        <f t="shared" si="53"/>
        <v>0.120933861802</v>
      </c>
      <c r="I111" s="1">
        <f t="shared" si="54"/>
        <v>0.27689093724927299</v>
      </c>
      <c r="J111" s="1">
        <f t="shared" si="55"/>
        <v>-0.65030098774312195</v>
      </c>
      <c r="K111" s="1">
        <f t="shared" si="56"/>
        <v>0.76583450965466504</v>
      </c>
      <c r="L111" s="1">
        <f t="shared" si="57"/>
        <v>0.46049173190852999</v>
      </c>
      <c r="M111" s="1">
        <f t="shared" si="58"/>
        <v>0.19364779539941601</v>
      </c>
      <c r="N111" s="1">
        <f t="shared" si="59"/>
        <v>0.17491467366497801</v>
      </c>
      <c r="O111" s="1">
        <f t="shared" si="60"/>
        <v>0.235076327182838</v>
      </c>
      <c r="P111" s="1">
        <f t="shared" si="61"/>
        <v>0.18299041051249099</v>
      </c>
      <c r="Q111" s="2">
        <f t="shared" si="62"/>
        <v>0.46468034185538598</v>
      </c>
      <c r="R111" s="1">
        <f t="shared" si="63"/>
        <v>2.7360854763523599</v>
      </c>
      <c r="S111" s="2">
        <f t="shared" si="64"/>
        <v>0.37954099974044497</v>
      </c>
      <c r="T111" s="1">
        <f t="shared" si="65"/>
        <v>-0.50564965995174105</v>
      </c>
      <c r="U111" s="1">
        <f t="shared" si="66"/>
        <v>0.30132739786846102</v>
      </c>
      <c r="V111" s="2">
        <f t="shared" si="67"/>
        <v>0.276115279570671</v>
      </c>
      <c r="W111" s="2">
        <f t="shared" si="68"/>
        <v>0.17693120372099999</v>
      </c>
      <c r="X111" s="1">
        <f t="shared" si="69"/>
        <v>0.28673411417192601</v>
      </c>
      <c r="Y111" s="2">
        <f t="shared" si="70"/>
        <v>0.98218142003164899</v>
      </c>
      <c r="Z111" s="1">
        <f t="shared" si="71"/>
        <v>0.654111687992185</v>
      </c>
      <c r="AA111" s="1">
        <f t="shared" si="72"/>
        <v>2.8314999900876101</v>
      </c>
      <c r="AB111" s="1">
        <f t="shared" si="73"/>
        <v>0.19037948002550001</v>
      </c>
      <c r="AC111" s="2">
        <f t="shared" si="74"/>
        <v>1.3539313579890999</v>
      </c>
      <c r="AD111" s="2">
        <f t="shared" si="75"/>
        <v>7.2892926157700003E-2</v>
      </c>
      <c r="AE111" s="1">
        <f t="shared" si="76"/>
        <v>0.15035755260572001</v>
      </c>
      <c r="AF111" s="2">
        <f t="shared" si="77"/>
        <v>0.10469002807976199</v>
      </c>
      <c r="AG111" s="5">
        <f t="shared" si="78"/>
        <v>0.111027311064994</v>
      </c>
      <c r="AH111" s="1">
        <f t="shared" si="79"/>
        <v>30.3012477480566</v>
      </c>
      <c r="AI111" s="1">
        <f t="shared" si="80"/>
        <v>0.35393135798910103</v>
      </c>
      <c r="AJ111" s="1">
        <f t="shared" si="81"/>
        <v>0.23068648156678001</v>
      </c>
      <c r="AK111" s="2">
        <f t="shared" si="82"/>
        <v>0.124142238905204</v>
      </c>
      <c r="AL111" s="2">
        <f t="shared" si="83"/>
        <v>0.131135478582045</v>
      </c>
      <c r="AM111" s="1">
        <f t="shared" si="84"/>
        <v>2.7360854763523599</v>
      </c>
      <c r="AN111" s="1">
        <f t="shared" si="85"/>
        <v>0.1040382775633</v>
      </c>
      <c r="AO111" s="1">
        <f t="shared" si="86"/>
        <v>0.33793360133829298</v>
      </c>
      <c r="AP111" s="1">
        <f t="shared" si="87"/>
        <v>2.02084504521416</v>
      </c>
      <c r="AQ111" s="1">
        <f t="shared" si="88"/>
        <v>4.8040935644300002E-2</v>
      </c>
      <c r="AR111" s="1">
        <f t="shared" si="89"/>
        <v>0.13203014878057401</v>
      </c>
      <c r="AS111" s="1">
        <f t="shared" si="90"/>
        <v>0.70063564934886302</v>
      </c>
      <c r="AT111" s="1">
        <f t="shared" si="91"/>
        <v>0.24569650234496601</v>
      </c>
      <c r="AU111" s="2">
        <f t="shared" si="92"/>
        <v>0.32044413491284401</v>
      </c>
      <c r="AV111" s="2">
        <f t="shared" si="93"/>
        <v>0.17370367702959399</v>
      </c>
      <c r="AW111" s="2">
        <f t="shared" si="94"/>
        <v>0.475268107909671</v>
      </c>
      <c r="AX111" s="2">
        <f t="shared" si="95"/>
        <v>2.48519905134E-2</v>
      </c>
      <c r="AY111" s="7">
        <f t="shared" si="96"/>
        <v>1.4630410464414201</v>
      </c>
      <c r="AZ111" s="2">
        <f t="shared" si="97"/>
        <v>0.13699371970635901</v>
      </c>
      <c r="BA111" s="1">
        <f t="shared" si="98"/>
        <v>2.3004339830573399</v>
      </c>
      <c r="BB111" s="2">
        <f t="shared" si="99"/>
        <v>6.5944788953204395E-2</v>
      </c>
      <c r="BC111" s="1">
        <f t="shared" si="100"/>
        <v>0.67707583772081803</v>
      </c>
      <c r="BD111" s="1">
        <f t="shared" si="101"/>
        <v>7.4947155518328104E-2</v>
      </c>
      <c r="BE111" s="2">
        <f t="shared" si="102"/>
        <v>3.00219540619799E-2</v>
      </c>
      <c r="BF111" s="1">
        <f t="shared" si="103"/>
        <v>0.54302085181776705</v>
      </c>
    </row>
    <row r="112" spans="1:58" customFormat="1" x14ac:dyDescent="0.15">
      <c r="A112" s="6">
        <v>212</v>
      </c>
      <c r="B112">
        <v>0.102515619031</v>
      </c>
      <c r="C112">
        <v>0.14376181021600001</v>
      </c>
      <c r="D112" s="4">
        <v>8.2673543210599998E-2</v>
      </c>
      <c r="E112" s="4">
        <v>0.186327014074812</v>
      </c>
      <c r="F112">
        <v>0.28951234401499998</v>
      </c>
      <c r="G112" s="1">
        <f t="shared" si="52"/>
        <v>2.0138334623083298</v>
      </c>
      <c r="H112" s="1">
        <f t="shared" si="53"/>
        <v>0.14575053379899999</v>
      </c>
      <c r="I112" s="1">
        <f t="shared" si="54"/>
        <v>0.33639332597091198</v>
      </c>
      <c r="J112" s="1">
        <f t="shared" si="55"/>
        <v>-0.61074688326149795</v>
      </c>
      <c r="K112" s="1">
        <f t="shared" si="56"/>
        <v>1.01383346230833</v>
      </c>
      <c r="L112" s="1">
        <f t="shared" si="57"/>
        <v>0.58399213211010303</v>
      </c>
      <c r="M112" s="1">
        <f t="shared" si="58"/>
        <v>0.23425678264779901</v>
      </c>
      <c r="N112" s="1">
        <f t="shared" si="59"/>
        <v>0.21346662208482201</v>
      </c>
      <c r="O112" s="1">
        <f t="shared" si="60"/>
        <v>0.28497890562245798</v>
      </c>
      <c r="P112" s="1">
        <f t="shared" si="61"/>
        <v>0.221426075308852</v>
      </c>
      <c r="Q112" s="2">
        <f t="shared" si="62"/>
        <v>0.55574057991893999</v>
      </c>
      <c r="R112" s="1">
        <f t="shared" si="63"/>
        <v>3.5018741518977299</v>
      </c>
      <c r="S112" s="2">
        <f t="shared" si="64"/>
        <v>0.45084436602392203</v>
      </c>
      <c r="T112" s="1">
        <f t="shared" si="65"/>
        <v>-0.40822767048779601</v>
      </c>
      <c r="U112" s="1">
        <f t="shared" si="66"/>
        <v>0.35572485837110102</v>
      </c>
      <c r="V112" s="2">
        <f t="shared" si="67"/>
        <v>0.33163447848396099</v>
      </c>
      <c r="W112" s="2">
        <f t="shared" si="68"/>
        <v>0.20683880080440001</v>
      </c>
      <c r="X112" s="1">
        <f t="shared" si="69"/>
        <v>0.33904087527726701</v>
      </c>
      <c r="Y112" s="2">
        <f t="shared" si="70"/>
        <v>1.0274923746281199</v>
      </c>
      <c r="Z112" s="1">
        <f t="shared" si="71"/>
        <v>0.87132951451574303</v>
      </c>
      <c r="AA112" s="1">
        <f t="shared" si="72"/>
        <v>2.9502783574843501</v>
      </c>
      <c r="AB112" s="1">
        <f t="shared" si="73"/>
        <v>0.18609294361279999</v>
      </c>
      <c r="AC112" s="2">
        <f t="shared" si="74"/>
        <v>1.5537862046066899</v>
      </c>
      <c r="AD112" s="2">
        <f t="shared" si="75"/>
        <v>0.103185329940188</v>
      </c>
      <c r="AE112" s="1">
        <f t="shared" si="76"/>
        <v>0.216849086116816</v>
      </c>
      <c r="AF112" s="2">
        <f t="shared" si="77"/>
        <v>0.14958490732086499</v>
      </c>
      <c r="AG112" s="5">
        <f t="shared" si="78"/>
        <v>0.158610117154177</v>
      </c>
      <c r="AH112" s="1">
        <f t="shared" si="79"/>
        <v>44.069466500763703</v>
      </c>
      <c r="AI112" s="1">
        <f t="shared" si="80"/>
        <v>0.55378620460669303</v>
      </c>
      <c r="AJ112" s="1">
        <f t="shared" si="81"/>
        <v>0.346537202004433</v>
      </c>
      <c r="AK112" s="2">
        <f t="shared" si="82"/>
        <v>0.177459870856919</v>
      </c>
      <c r="AL112" s="2">
        <f t="shared" si="83"/>
        <v>0.18824720616573001</v>
      </c>
      <c r="AM112" s="1">
        <f t="shared" si="84"/>
        <v>3.5018741518977299</v>
      </c>
      <c r="AN112" s="1">
        <f t="shared" si="85"/>
        <v>0.10365347086421201</v>
      </c>
      <c r="AO112" s="1">
        <f t="shared" si="86"/>
        <v>0.38532808968954901</v>
      </c>
      <c r="AP112" s="1">
        <f t="shared" si="87"/>
        <v>2.25376833795751</v>
      </c>
      <c r="AQ112" s="1">
        <f t="shared" si="88"/>
        <v>4.2565203858811997E-2</v>
      </c>
      <c r="AR112" s="1">
        <f t="shared" si="89"/>
        <v>0.128950757270448</v>
      </c>
      <c r="AS112" s="1">
        <f t="shared" si="90"/>
        <v>0.99548359625470395</v>
      </c>
      <c r="AT112" s="1">
        <f t="shared" si="91"/>
        <v>0.232023142579106</v>
      </c>
      <c r="AU112" s="2">
        <f t="shared" si="92"/>
        <v>0.30072088886515502</v>
      </c>
      <c r="AV112" s="2">
        <f t="shared" si="93"/>
        <v>0.14802441092785401</v>
      </c>
      <c r="AW112" s="2">
        <f t="shared" si="94"/>
        <v>0.51836285847813801</v>
      </c>
      <c r="AX112" s="2">
        <f t="shared" si="95"/>
        <v>6.0620126081376E-2</v>
      </c>
      <c r="AY112" s="7">
        <f t="shared" si="96"/>
        <v>1.41912894185105</v>
      </c>
      <c r="AZ112" s="2">
        <f t="shared" si="97"/>
        <v>0.19406523895790501</v>
      </c>
      <c r="BA112" s="1">
        <f t="shared" si="98"/>
        <v>2.0747546393713701</v>
      </c>
      <c r="BB112" s="2">
        <f t="shared" si="99"/>
        <v>0.11503490843266399</v>
      </c>
      <c r="BC112" s="1">
        <f t="shared" si="100"/>
        <v>0.71985401578455799</v>
      </c>
      <c r="BD112" s="1">
        <f t="shared" si="101"/>
        <v>0.116726024660203</v>
      </c>
      <c r="BE112" s="2">
        <f t="shared" si="102"/>
        <v>8.2185157094123995E-2</v>
      </c>
      <c r="BF112" s="1">
        <f t="shared" si="103"/>
        <v>0.64462957310742497</v>
      </c>
    </row>
    <row r="113" spans="1:58" customFormat="1" x14ac:dyDescent="0.15">
      <c r="A113" s="6">
        <v>182.5</v>
      </c>
      <c r="B113">
        <v>0.12987869472300001</v>
      </c>
      <c r="C113">
        <v>0.164160802647</v>
      </c>
      <c r="D113" s="4">
        <v>0.110919671939</v>
      </c>
      <c r="E113" s="4">
        <v>0.21513806537777999</v>
      </c>
      <c r="F113">
        <v>0.23378259695699999</v>
      </c>
      <c r="G113" s="1">
        <f t="shared" si="52"/>
        <v>1.42410729715857</v>
      </c>
      <c r="H113" s="1">
        <f t="shared" si="53"/>
        <v>6.9621794309999999E-2</v>
      </c>
      <c r="I113" s="1">
        <f t="shared" si="54"/>
        <v>0.17495401200090699</v>
      </c>
      <c r="J113" s="1">
        <f t="shared" si="55"/>
        <v>-0.70809818863601504</v>
      </c>
      <c r="K113" s="1">
        <f t="shared" si="56"/>
        <v>0.42410729715856599</v>
      </c>
      <c r="L113" s="1">
        <f t="shared" si="57"/>
        <v>0.27239543527150401</v>
      </c>
      <c r="M113" s="1">
        <f t="shared" si="58"/>
        <v>0.116302087092634</v>
      </c>
      <c r="N113" s="1">
        <f t="shared" si="59"/>
        <v>0.101965130455037</v>
      </c>
      <c r="O113" s="1">
        <f t="shared" si="60"/>
        <v>0.14474816165388901</v>
      </c>
      <c r="P113" s="1">
        <f t="shared" si="61"/>
        <v>0.11036581099795501</v>
      </c>
      <c r="Q113" s="2">
        <f t="shared" si="62"/>
        <v>0.35643201714772899</v>
      </c>
      <c r="R113" s="1">
        <f t="shared" si="63"/>
        <v>2.1076747962757101</v>
      </c>
      <c r="S113" s="2">
        <f t="shared" si="64"/>
        <v>0.28238627365919</v>
      </c>
      <c r="T113" s="1">
        <f t="shared" si="65"/>
        <v>-0.59626986779204305</v>
      </c>
      <c r="U113" s="1">
        <f t="shared" si="66"/>
        <v>0.21817674027070799</v>
      </c>
      <c r="V113" s="2">
        <f t="shared" si="67"/>
        <v>0.192754825432322</v>
      </c>
      <c r="W113" s="2">
        <f t="shared" si="68"/>
        <v>0.122862925018</v>
      </c>
      <c r="X113" s="1">
        <f t="shared" si="69"/>
        <v>0.20926605122865899</v>
      </c>
      <c r="Y113" s="2">
        <f t="shared" si="70"/>
        <v>0.92543612267283404</v>
      </c>
      <c r="Z113" s="1">
        <f t="shared" si="71"/>
        <v>0.451783315882817</v>
      </c>
      <c r="AA113" s="1">
        <f t="shared" si="72"/>
        <v>2.72632395569511</v>
      </c>
      <c r="AB113" s="1">
        <f t="shared" si="73"/>
        <v>0.17235113444799999</v>
      </c>
      <c r="AC113" s="2">
        <f t="shared" si="74"/>
        <v>1.08666309956111</v>
      </c>
      <c r="AD113" s="2">
        <f t="shared" si="75"/>
        <v>1.8644531579220001E-2</v>
      </c>
      <c r="AE113" s="1">
        <f t="shared" si="76"/>
        <v>4.15319078481532E-2</v>
      </c>
      <c r="AF113" s="2">
        <f t="shared" si="77"/>
        <v>2.7827018658493501E-2</v>
      </c>
      <c r="AG113" s="5">
        <f t="shared" si="78"/>
        <v>2.9472218783832601E-2</v>
      </c>
      <c r="AH113" s="1">
        <f t="shared" si="79"/>
        <v>8.3111624092646803</v>
      </c>
      <c r="AI113" s="1">
        <f t="shared" si="80"/>
        <v>8.6663099561113996E-2</v>
      </c>
      <c r="AJ113" s="1">
        <f t="shared" si="81"/>
        <v>5.9994031909911802E-2</v>
      </c>
      <c r="AK113" s="2">
        <f t="shared" si="82"/>
        <v>3.3108467206299501E-2</v>
      </c>
      <c r="AL113" s="2">
        <f t="shared" si="83"/>
        <v>3.5518020605456897E-2</v>
      </c>
      <c r="AM113" s="1">
        <f t="shared" si="84"/>
        <v>2.1076747962757101</v>
      </c>
      <c r="AN113" s="1">
        <f t="shared" si="85"/>
        <v>0.10421839343878</v>
      </c>
      <c r="AO113" s="1">
        <f t="shared" si="86"/>
        <v>0.31963171399158402</v>
      </c>
      <c r="AP113" s="1">
        <f t="shared" si="87"/>
        <v>1.9395844002864899</v>
      </c>
      <c r="AQ113" s="1">
        <f t="shared" si="88"/>
        <v>5.0977262730780001E-2</v>
      </c>
      <c r="AR113" s="1">
        <f t="shared" si="89"/>
        <v>0.13439866824872701</v>
      </c>
      <c r="AS113" s="1">
        <f t="shared" si="90"/>
        <v>0.17889866619535</v>
      </c>
      <c r="AT113" s="1">
        <f t="shared" si="91"/>
        <v>0.26776344095132398</v>
      </c>
      <c r="AU113" s="2">
        <f t="shared" si="92"/>
        <v>0.35091268887760901</v>
      </c>
      <c r="AV113" s="2">
        <f t="shared" si="93"/>
        <v>0.19812733229177601</v>
      </c>
      <c r="AW113" s="2">
        <f t="shared" si="94"/>
        <v>0.41758798472471798</v>
      </c>
      <c r="AX113" s="2">
        <f t="shared" si="95"/>
        <v>-3.2332731151559997E-2</v>
      </c>
      <c r="AY113" s="7">
        <f t="shared" si="96"/>
        <v>1.76471931290563</v>
      </c>
      <c r="AZ113" s="2">
        <f t="shared" si="97"/>
        <v>3.6037691250491402E-2</v>
      </c>
      <c r="BA113" s="1">
        <f t="shared" si="98"/>
        <v>2.8770219717049299</v>
      </c>
      <c r="BB113" s="2">
        <f t="shared" si="99"/>
        <v>5.1292375153580601E-3</v>
      </c>
      <c r="BC113" s="1">
        <f t="shared" si="100"/>
        <v>0.53885905044861504</v>
      </c>
      <c r="BD113" s="1">
        <f t="shared" si="101"/>
        <v>-2.41727694150628E-2</v>
      </c>
      <c r="BE113" s="2">
        <f t="shared" si="102"/>
        <v>-5.2676404385940102E-2</v>
      </c>
      <c r="BF113" s="1">
        <f t="shared" si="103"/>
        <v>0.23738757044301401</v>
      </c>
    </row>
    <row r="114" spans="1:58" customFormat="1" x14ac:dyDescent="0.15">
      <c r="A114" s="6">
        <v>174.5</v>
      </c>
      <c r="B114">
        <v>0.12946371337900001</v>
      </c>
      <c r="C114">
        <v>0.16637399748199999</v>
      </c>
      <c r="D114" s="4">
        <v>0.115451742639</v>
      </c>
      <c r="E114" s="4">
        <v>0.21976077749178</v>
      </c>
      <c r="F114">
        <v>0.23287266872099999</v>
      </c>
      <c r="G114" s="1">
        <f t="shared" si="52"/>
        <v>1.3996938959538701</v>
      </c>
      <c r="H114" s="1">
        <f t="shared" si="53"/>
        <v>6.6498671238999996E-2</v>
      </c>
      <c r="I114" s="1">
        <f t="shared" si="54"/>
        <v>0.16656036698172</v>
      </c>
      <c r="J114" s="1">
        <f t="shared" si="55"/>
        <v>-0.71238261992278895</v>
      </c>
      <c r="K114" s="1">
        <f t="shared" si="56"/>
        <v>0.39969389595387</v>
      </c>
      <c r="L114" s="1">
        <f t="shared" si="57"/>
        <v>0.25801775518446401</v>
      </c>
      <c r="M114" s="1">
        <f t="shared" si="58"/>
        <v>0.110923966256865</v>
      </c>
      <c r="N114" s="1">
        <f t="shared" si="59"/>
        <v>9.7180128195125406E-2</v>
      </c>
      <c r="O114" s="1">
        <f t="shared" si="60"/>
        <v>0.137932800138034</v>
      </c>
      <c r="P114" s="1">
        <f t="shared" si="61"/>
        <v>0.105242781630688</v>
      </c>
      <c r="Q114" s="2">
        <f t="shared" si="62"/>
        <v>0.33710220200628799</v>
      </c>
      <c r="R114" s="1">
        <f t="shared" si="63"/>
        <v>2.01705633365065</v>
      </c>
      <c r="S114" s="2">
        <f t="shared" si="64"/>
        <v>0.26795540645136601</v>
      </c>
      <c r="T114" s="1">
        <f t="shared" si="65"/>
        <v>-0.610245334031293</v>
      </c>
      <c r="U114" s="1">
        <f t="shared" si="66"/>
        <v>0.20762268156427699</v>
      </c>
      <c r="V114" s="2">
        <f t="shared" si="67"/>
        <v>0.18309044238566199</v>
      </c>
      <c r="W114" s="2">
        <f t="shared" si="68"/>
        <v>0.117420926082</v>
      </c>
      <c r="X114" s="1">
        <f t="shared" si="69"/>
        <v>0.19895439865421399</v>
      </c>
      <c r="Y114" s="2">
        <f t="shared" si="70"/>
        <v>0.91493289481048201</v>
      </c>
      <c r="Z114" s="1">
        <f t="shared" si="71"/>
        <v>0.42023108459526798</v>
      </c>
      <c r="AA114" s="1">
        <f t="shared" si="72"/>
        <v>2.7033837204741298</v>
      </c>
      <c r="AB114" s="1">
        <f t="shared" si="73"/>
        <v>0.17416220567999999</v>
      </c>
      <c r="AC114" s="2">
        <f t="shared" si="74"/>
        <v>1.05966438314822</v>
      </c>
      <c r="AD114" s="2">
        <f t="shared" si="75"/>
        <v>1.3111891229219999E-2</v>
      </c>
      <c r="AE114" s="1">
        <f t="shared" si="76"/>
        <v>2.8968012282185901E-2</v>
      </c>
      <c r="AF114" s="2">
        <f t="shared" si="77"/>
        <v>1.9489110450985999E-2</v>
      </c>
      <c r="AG114" s="5">
        <f t="shared" si="78"/>
        <v>2.0645755113910799E-2</v>
      </c>
      <c r="AH114" s="1">
        <f t="shared" si="79"/>
        <v>5.7952238317892997</v>
      </c>
      <c r="AI114" s="1">
        <f t="shared" si="80"/>
        <v>5.9664383148218397E-2</v>
      </c>
      <c r="AJ114" s="1">
        <f t="shared" si="81"/>
        <v>4.1573532251261001E-2</v>
      </c>
      <c r="AK114" s="2">
        <f t="shared" si="82"/>
        <v>2.3184334413174801E-2</v>
      </c>
      <c r="AL114" s="2">
        <f t="shared" si="83"/>
        <v>2.4826907378172201E-2</v>
      </c>
      <c r="AM114" s="1">
        <f t="shared" si="84"/>
        <v>2.01705633365065</v>
      </c>
      <c r="AN114" s="1">
        <f t="shared" si="85"/>
        <v>0.10430903485277999</v>
      </c>
      <c r="AO114" s="1">
        <f t="shared" si="86"/>
        <v>0.31117284883060098</v>
      </c>
      <c r="AP114" s="1">
        <f t="shared" si="87"/>
        <v>1.90348601474937</v>
      </c>
      <c r="AQ114" s="1">
        <f t="shared" si="88"/>
        <v>5.3386780009779998E-2</v>
      </c>
      <c r="AR114" s="1">
        <f t="shared" si="89"/>
        <v>0.13825944584609101</v>
      </c>
      <c r="AS114" s="1">
        <f t="shared" si="90"/>
        <v>0.125702354045609</v>
      </c>
      <c r="AT114" s="1">
        <f t="shared" si="91"/>
        <v>0.26877543909477702</v>
      </c>
      <c r="AU114" s="2">
        <f t="shared" si="92"/>
        <v>0.35502121942194198</v>
      </c>
      <c r="AV114" s="2">
        <f t="shared" si="93"/>
        <v>0.20322962982427401</v>
      </c>
      <c r="AW114" s="2">
        <f t="shared" si="94"/>
        <v>0.40992561202252897</v>
      </c>
      <c r="AX114" s="2">
        <f t="shared" si="95"/>
        <v>-4.0274888780560097E-2</v>
      </c>
      <c r="AY114" s="7">
        <f t="shared" si="96"/>
        <v>1.76576349413032</v>
      </c>
      <c r="AZ114" s="2">
        <f t="shared" si="97"/>
        <v>2.5144917590271799E-2</v>
      </c>
      <c r="BA114" s="1">
        <f t="shared" si="98"/>
        <v>2.8849195844082001</v>
      </c>
      <c r="BB114" s="2">
        <f t="shared" si="99"/>
        <v>-1.99050556412314E-4</v>
      </c>
      <c r="BC114" s="1">
        <f t="shared" si="100"/>
        <v>0.53305023336327995</v>
      </c>
      <c r="BD114" s="1">
        <f t="shared" si="101"/>
        <v>-3.5320390235565199E-2</v>
      </c>
      <c r="BE114" s="2">
        <f t="shared" si="102"/>
        <v>-6.4402253445180094E-2</v>
      </c>
      <c r="BF114" s="1">
        <f t="shared" si="103"/>
        <v>0.173918998901853</v>
      </c>
    </row>
    <row r="115" spans="1:58" customFormat="1" x14ac:dyDescent="0.15">
      <c r="A115" s="6">
        <v>180.5</v>
      </c>
      <c r="B115">
        <v>0.14072727154600001</v>
      </c>
      <c r="C115">
        <v>0.17810287192400001</v>
      </c>
      <c r="D115" s="4">
        <v>0.12564228050599999</v>
      </c>
      <c r="E115" s="4">
        <v>0.23015512611611999</v>
      </c>
      <c r="F115">
        <v>0.232695221624</v>
      </c>
      <c r="G115" s="1">
        <f t="shared" si="52"/>
        <v>1.3065214452201299</v>
      </c>
      <c r="H115" s="1">
        <f t="shared" si="53"/>
        <v>5.4592349700000001E-2</v>
      </c>
      <c r="I115" s="1">
        <f t="shared" si="54"/>
        <v>0.132893386209498</v>
      </c>
      <c r="J115" s="1">
        <f t="shared" si="55"/>
        <v>-0.72893337602411801</v>
      </c>
      <c r="K115" s="1">
        <f t="shared" si="56"/>
        <v>0.30652144522012897</v>
      </c>
      <c r="L115" s="1">
        <f t="shared" si="57"/>
        <v>0.20182832507141399</v>
      </c>
      <c r="M115" s="1">
        <f t="shared" si="58"/>
        <v>8.9908537501439498E-2</v>
      </c>
      <c r="N115" s="1">
        <f t="shared" si="59"/>
        <v>7.8739880342469898E-2</v>
      </c>
      <c r="O115" s="1">
        <f t="shared" si="60"/>
        <v>0.110944879402746</v>
      </c>
      <c r="P115" s="1">
        <f t="shared" si="61"/>
        <v>8.5176065962018294E-2</v>
      </c>
      <c r="Q115" s="2">
        <f t="shared" si="62"/>
        <v>0.29874891821722499</v>
      </c>
      <c r="R115" s="1">
        <f t="shared" si="63"/>
        <v>1.85204551116762</v>
      </c>
      <c r="S115" s="2">
        <f t="shared" si="64"/>
        <v>0.23957635939244701</v>
      </c>
      <c r="T115" s="1">
        <f t="shared" si="65"/>
        <v>-0.63633252342547297</v>
      </c>
      <c r="U115" s="1">
        <f t="shared" si="66"/>
        <v>0.18708190109195499</v>
      </c>
      <c r="V115" s="2">
        <f t="shared" si="67"/>
        <v>0.16459628168955301</v>
      </c>
      <c r="W115" s="2">
        <f t="shared" si="68"/>
        <v>0.107052941118</v>
      </c>
      <c r="X115" s="1">
        <f t="shared" si="69"/>
        <v>0.178834980781095</v>
      </c>
      <c r="Y115" s="2">
        <f t="shared" si="70"/>
        <v>0.89372754137780996</v>
      </c>
      <c r="Z115" s="1">
        <f t="shared" si="71"/>
        <v>0.36089878799549902</v>
      </c>
      <c r="AA115" s="1">
        <f t="shared" si="72"/>
        <v>2.6553178904753798</v>
      </c>
      <c r="AB115" s="1">
        <f t="shared" si="73"/>
        <v>0.17916875106499999</v>
      </c>
      <c r="AC115" s="2">
        <f t="shared" si="74"/>
        <v>1.0110364498533799</v>
      </c>
      <c r="AD115" s="2">
        <f t="shared" si="75"/>
        <v>2.5400955078800102E-3</v>
      </c>
      <c r="AE115" s="1">
        <f t="shared" si="76"/>
        <v>5.4879412325865096E-3</v>
      </c>
      <c r="AF115" s="2">
        <f t="shared" si="77"/>
        <v>3.7336168620256799E-3</v>
      </c>
      <c r="AG115" s="5">
        <f t="shared" si="78"/>
        <v>3.9571500085789002E-3</v>
      </c>
      <c r="AH115" s="1">
        <f t="shared" si="79"/>
        <v>1.0975992655873701</v>
      </c>
      <c r="AI115" s="1">
        <f t="shared" si="80"/>
        <v>1.1036449853384801E-2</v>
      </c>
      <c r="AJ115" s="1">
        <f t="shared" si="81"/>
        <v>7.7825052657716802E-3</v>
      </c>
      <c r="AK115" s="2">
        <f t="shared" si="82"/>
        <v>4.4389802989674597E-3</v>
      </c>
      <c r="AL115" s="2">
        <f t="shared" si="83"/>
        <v>4.7306881979460999E-3</v>
      </c>
      <c r="AM115" s="1">
        <f t="shared" si="84"/>
        <v>1.85204551116762</v>
      </c>
      <c r="AN115" s="1">
        <f t="shared" si="85"/>
        <v>0.10451284561012</v>
      </c>
      <c r="AO115" s="1">
        <f t="shared" si="86"/>
        <v>0.29374257278136801</v>
      </c>
      <c r="AP115" s="1">
        <f t="shared" si="87"/>
        <v>1.8318286263924399</v>
      </c>
      <c r="AQ115" s="1">
        <f t="shared" si="88"/>
        <v>5.205225419212E-2</v>
      </c>
      <c r="AR115" s="1">
        <f t="shared" si="89"/>
        <v>0.12749843099707001</v>
      </c>
      <c r="AS115" s="1">
        <f t="shared" si="90"/>
        <v>2.4304146471675898E-2</v>
      </c>
      <c r="AT115" s="1">
        <f t="shared" si="91"/>
        <v>0.27787187342210701</v>
      </c>
      <c r="AU115" s="2">
        <f t="shared" si="92"/>
        <v>0.359082564928418</v>
      </c>
      <c r="AV115" s="2">
        <f t="shared" si="93"/>
        <v>0.21349847810405201</v>
      </c>
      <c r="AW115" s="2">
        <f t="shared" si="94"/>
        <v>0.39540889801372697</v>
      </c>
      <c r="AX115" s="2">
        <f t="shared" si="95"/>
        <v>-4.9512158684239999E-2</v>
      </c>
      <c r="AY115" s="7">
        <f t="shared" si="96"/>
        <v>1.9609513367035001</v>
      </c>
      <c r="AZ115" s="2">
        <f t="shared" si="97"/>
        <v>4.9694539349978998E-3</v>
      </c>
      <c r="BA115" s="1">
        <f t="shared" si="98"/>
        <v>3.3639380358970801</v>
      </c>
      <c r="BB115" s="2">
        <f t="shared" si="99"/>
        <v>-8.4708419413929599E-3</v>
      </c>
      <c r="BC115" s="1">
        <f t="shared" si="100"/>
        <v>0.52534588335259702</v>
      </c>
      <c r="BD115" s="1">
        <f t="shared" si="101"/>
        <v>-5.7320368796943702E-2</v>
      </c>
      <c r="BE115" s="2">
        <f t="shared" si="102"/>
        <v>-7.754377900836E-2</v>
      </c>
      <c r="BF115" s="1">
        <f t="shared" si="103"/>
        <v>4.1295819070597699E-2</v>
      </c>
    </row>
    <row r="116" spans="1:58" customFormat="1" x14ac:dyDescent="0.15">
      <c r="A116" s="6">
        <v>172</v>
      </c>
      <c r="B116">
        <v>0.15600474954900001</v>
      </c>
      <c r="C116">
        <v>0.1910495804</v>
      </c>
      <c r="D116" s="4">
        <v>0.14355795360699999</v>
      </c>
      <c r="E116" s="4">
        <v>0.24842911267914</v>
      </c>
      <c r="F116">
        <v>0.232300869168</v>
      </c>
      <c r="G116" s="1">
        <f t="shared" si="52"/>
        <v>1.21591928483503</v>
      </c>
      <c r="H116" s="1">
        <f t="shared" si="53"/>
        <v>4.1251288768000001E-2</v>
      </c>
      <c r="I116" s="1">
        <f t="shared" si="54"/>
        <v>9.7440049514755697E-2</v>
      </c>
      <c r="J116" s="1">
        <f t="shared" si="55"/>
        <v>-0.74533728796290799</v>
      </c>
      <c r="K116" s="1">
        <f t="shared" si="56"/>
        <v>0.21591928483502701</v>
      </c>
      <c r="L116" s="1">
        <f t="shared" si="57"/>
        <v>0.14504890832238501</v>
      </c>
      <c r="M116" s="1">
        <f t="shared" si="58"/>
        <v>6.7013486787112997E-2</v>
      </c>
      <c r="N116" s="1">
        <f t="shared" si="59"/>
        <v>5.8682293527297903E-2</v>
      </c>
      <c r="O116" s="1">
        <f t="shared" si="60"/>
        <v>8.2028727339314503E-2</v>
      </c>
      <c r="P116" s="1">
        <f t="shared" si="61"/>
        <v>6.33997446375094E-2</v>
      </c>
      <c r="Q116" s="2">
        <f t="shared" si="62"/>
        <v>0.236107043878345</v>
      </c>
      <c r="R116" s="1">
        <f t="shared" si="63"/>
        <v>1.6181678780678399</v>
      </c>
      <c r="S116" s="2">
        <f t="shared" si="64"/>
        <v>0.19210616243596701</v>
      </c>
      <c r="T116" s="1">
        <f t="shared" si="65"/>
        <v>-0.674789191360607</v>
      </c>
      <c r="U116" s="1">
        <f t="shared" si="66"/>
        <v>0.151981540723368</v>
      </c>
      <c r="V116" s="2">
        <f t="shared" si="67"/>
        <v>0.13331945721750499</v>
      </c>
      <c r="W116" s="2">
        <f t="shared" si="68"/>
        <v>8.8742915561000002E-2</v>
      </c>
      <c r="X116" s="1">
        <f t="shared" si="69"/>
        <v>0.144750915224234</v>
      </c>
      <c r="Y116" s="2">
        <f t="shared" si="70"/>
        <v>0.85796680814489801</v>
      </c>
      <c r="Z116" s="1">
        <f t="shared" si="71"/>
        <v>0.27207227706126702</v>
      </c>
      <c r="AA116" s="1">
        <f t="shared" si="72"/>
        <v>2.5747230691568999</v>
      </c>
      <c r="AB116" s="1">
        <f t="shared" si="73"/>
        <v>0.18792941138749999</v>
      </c>
      <c r="AC116" s="2">
        <f t="shared" si="74"/>
        <v>0.93507909223195396</v>
      </c>
      <c r="AD116" s="2">
        <f t="shared" si="75"/>
        <v>-1.6128243511139999E-2</v>
      </c>
      <c r="AE116" s="1">
        <f t="shared" si="76"/>
        <v>-3.3549485407940297E-2</v>
      </c>
      <c r="AF116" s="2">
        <f t="shared" si="77"/>
        <v>-2.3261433110036402E-2</v>
      </c>
      <c r="AG116" s="5">
        <f t="shared" si="78"/>
        <v>-2.4667712535049999E-2</v>
      </c>
      <c r="AH116" s="1">
        <f t="shared" si="79"/>
        <v>-6.7124162648624797</v>
      </c>
      <c r="AI116" s="1">
        <f t="shared" si="80"/>
        <v>-6.4920907768046196E-2</v>
      </c>
      <c r="AJ116" s="1">
        <f t="shared" si="81"/>
        <v>-4.6669723031471898E-2</v>
      </c>
      <c r="AK116" s="2">
        <f t="shared" si="82"/>
        <v>-2.7621306810680799E-2</v>
      </c>
      <c r="AL116" s="2">
        <f t="shared" si="83"/>
        <v>-2.9199136926584102E-2</v>
      </c>
      <c r="AM116" s="1">
        <f t="shared" si="84"/>
        <v>1.6181678780678399</v>
      </c>
      <c r="AN116" s="1">
        <f t="shared" si="85"/>
        <v>0.10487115907213999</v>
      </c>
      <c r="AO116" s="1">
        <f t="shared" si="86"/>
        <v>0.26753729419119898</v>
      </c>
      <c r="AP116" s="1">
        <f t="shared" si="87"/>
        <v>1.7305144468639599</v>
      </c>
      <c r="AQ116" s="1">
        <f t="shared" si="88"/>
        <v>5.737953227914E-2</v>
      </c>
      <c r="AR116" s="1">
        <f t="shared" si="89"/>
        <v>0.13056271710721401</v>
      </c>
      <c r="AS116" s="1">
        <f t="shared" si="90"/>
        <v>-0.15379102942922099</v>
      </c>
      <c r="AT116" s="1">
        <f t="shared" si="91"/>
        <v>0.28439326102885398</v>
      </c>
      <c r="AU116" s="2">
        <f t="shared" si="92"/>
        <v>0.36980748840904099</v>
      </c>
      <c r="AV116" s="2">
        <f t="shared" si="93"/>
        <v>0.229954713929508</v>
      </c>
      <c r="AW116" s="2">
        <f t="shared" si="94"/>
        <v>0.372105331491008</v>
      </c>
      <c r="AX116" s="2">
        <f t="shared" si="95"/>
        <v>-7.3507775790280006E-2</v>
      </c>
      <c r="AY116" s="7">
        <f t="shared" si="96"/>
        <v>2.1512761955170898</v>
      </c>
      <c r="AZ116" s="2">
        <f t="shared" si="97"/>
        <v>-3.1256196412699701E-2</v>
      </c>
      <c r="BA116" s="1">
        <f t="shared" si="98"/>
        <v>3.71051273226192</v>
      </c>
      <c r="BB116" s="2">
        <f t="shared" si="99"/>
        <v>-2.2795826832608598E-2</v>
      </c>
      <c r="BC116" s="1">
        <f t="shared" si="100"/>
        <v>0.51114322740334595</v>
      </c>
      <c r="BD116" s="1">
        <f t="shared" si="101"/>
        <v>-9.8173717488298104E-2</v>
      </c>
      <c r="BE116" s="2">
        <f t="shared" si="102"/>
        <v>-0.1127367410115</v>
      </c>
      <c r="BF116" s="1">
        <f t="shared" si="103"/>
        <v>-0.34430899383789598</v>
      </c>
    </row>
    <row r="117" spans="1:58" customFormat="1" x14ac:dyDescent="0.15">
      <c r="A117" s="6">
        <v>172</v>
      </c>
      <c r="B117">
        <v>0.192812057294</v>
      </c>
      <c r="C117">
        <v>0.23110862476800001</v>
      </c>
      <c r="D117" s="4">
        <v>0.18470909131999999</v>
      </c>
      <c r="E117" s="4">
        <v>0.29040327314640002</v>
      </c>
      <c r="F117">
        <v>0.230976042311</v>
      </c>
      <c r="G117" s="1">
        <f t="shared" si="52"/>
        <v>0.99942631973543605</v>
      </c>
      <c r="H117" s="1">
        <f t="shared" si="53"/>
        <v>-1.3258245700001301E-4</v>
      </c>
      <c r="I117" s="1">
        <f t="shared" si="54"/>
        <v>-2.86922433150863E-4</v>
      </c>
      <c r="J117" s="1">
        <f t="shared" si="55"/>
        <v>-0.78582405271589595</v>
      </c>
      <c r="K117" s="1">
        <f t="shared" si="56"/>
        <v>-5.7368026456439103E-4</v>
      </c>
      <c r="L117" s="1">
        <f t="shared" si="57"/>
        <v>-4.0571139663491502E-4</v>
      </c>
      <c r="M117" s="1">
        <f t="shared" si="58"/>
        <v>-2.0671120983959101E-4</v>
      </c>
      <c r="N117" s="1">
        <f t="shared" si="59"/>
        <v>-1.8135479762049201E-4</v>
      </c>
      <c r="O117" s="1">
        <f t="shared" si="60"/>
        <v>-2.4722623504315499E-4</v>
      </c>
      <c r="P117" s="1">
        <f t="shared" si="61"/>
        <v>-1.95040716660813E-4</v>
      </c>
      <c r="Q117" s="2">
        <f t="shared" si="62"/>
        <v>0.11130287625842999</v>
      </c>
      <c r="R117" s="1">
        <f t="shared" si="63"/>
        <v>1.2504855102710899</v>
      </c>
      <c r="S117" s="2">
        <f t="shared" si="64"/>
        <v>9.32274606624824E-2</v>
      </c>
      <c r="T117" s="1">
        <f t="shared" si="65"/>
        <v>-0.73904233152203602</v>
      </c>
      <c r="U117" s="1">
        <f t="shared" si="66"/>
        <v>7.5790710078806195E-2</v>
      </c>
      <c r="V117" s="2">
        <f t="shared" si="67"/>
        <v>6.6301631452079707E-2</v>
      </c>
      <c r="W117" s="2">
        <f t="shared" si="68"/>
        <v>4.6266950990999998E-2</v>
      </c>
      <c r="X117" s="1">
        <f t="shared" si="69"/>
        <v>7.1761025083300595E-2</v>
      </c>
      <c r="Y117" s="2">
        <f t="shared" si="70"/>
        <v>0.781858603750339</v>
      </c>
      <c r="Z117" s="1">
        <f t="shared" si="71"/>
        <v>0.11825109446451799</v>
      </c>
      <c r="AA117" s="1">
        <f t="shared" si="72"/>
        <v>2.4063896712113602</v>
      </c>
      <c r="AB117" s="1">
        <f t="shared" si="73"/>
        <v>0.20784256681550001</v>
      </c>
      <c r="AC117" s="2">
        <f t="shared" si="74"/>
        <v>0.795363081856721</v>
      </c>
      <c r="AD117" s="2">
        <f t="shared" si="75"/>
        <v>-5.9427230835399997E-2</v>
      </c>
      <c r="AE117" s="1">
        <f t="shared" si="76"/>
        <v>-0.113980798765032</v>
      </c>
      <c r="AF117" s="2">
        <f t="shared" si="77"/>
        <v>-8.2301660001562693E-2</v>
      </c>
      <c r="AG117" s="5">
        <f t="shared" si="78"/>
        <v>-8.7274967197843098E-2</v>
      </c>
      <c r="AH117" s="1">
        <f t="shared" si="79"/>
        <v>-22.895656184857099</v>
      </c>
      <c r="AI117" s="1">
        <f t="shared" si="80"/>
        <v>-0.204636918143279</v>
      </c>
      <c r="AJ117" s="1">
        <f t="shared" si="81"/>
        <v>-0.15272419384886399</v>
      </c>
      <c r="AK117" s="2">
        <f t="shared" si="82"/>
        <v>-9.7348797069170004E-2</v>
      </c>
      <c r="AL117" s="2">
        <f t="shared" si="83"/>
        <v>-0.101170649306823</v>
      </c>
      <c r="AM117" s="1">
        <f t="shared" si="84"/>
        <v>1.2504855102710899</v>
      </c>
      <c r="AN117" s="1">
        <f t="shared" si="85"/>
        <v>0.1056941818264</v>
      </c>
      <c r="AO117" s="1">
        <f t="shared" si="86"/>
        <v>0.22246144224241701</v>
      </c>
      <c r="AP117" s="1">
        <f t="shared" si="87"/>
        <v>1.57221970543556</v>
      </c>
      <c r="AQ117" s="1">
        <f t="shared" si="88"/>
        <v>5.9294648378399997E-2</v>
      </c>
      <c r="AR117" s="1">
        <f t="shared" si="89"/>
        <v>0.11369759465800799</v>
      </c>
      <c r="AS117" s="1">
        <f t="shared" si="90"/>
        <v>-0.56225640625146001</v>
      </c>
      <c r="AT117" s="1">
        <f t="shared" si="91"/>
        <v>0.307126018124322</v>
      </c>
      <c r="AU117" s="2">
        <f t="shared" si="92"/>
        <v>0.38592415588668799</v>
      </c>
      <c r="AV117" s="2">
        <f t="shared" si="93"/>
        <v>0.261594850654772</v>
      </c>
      <c r="AW117" s="2">
        <f t="shared" si="94"/>
        <v>0.32712057030532299</v>
      </c>
      <c r="AX117" s="2">
        <f t="shared" si="95"/>
        <v>-0.11872187921379999</v>
      </c>
      <c r="AY117" s="7">
        <f t="shared" si="96"/>
        <v>-348.96736746246398</v>
      </c>
      <c r="AZ117" s="2">
        <f t="shared" si="97"/>
        <v>-0.11980513985464</v>
      </c>
      <c r="BA117" s="1">
        <f t="shared" si="98"/>
        <v>6.8082480289942602</v>
      </c>
      <c r="BB117" s="2">
        <f t="shared" si="99"/>
        <v>-4.7245135225134599E-2</v>
      </c>
      <c r="BC117" s="1">
        <f t="shared" si="100"/>
        <v>0.47556635985920198</v>
      </c>
      <c r="BD117" s="1">
        <f t="shared" si="101"/>
        <v>-0.20036110734318899</v>
      </c>
      <c r="BE117" s="2">
        <f t="shared" si="102"/>
        <v>-0.17807486387328</v>
      </c>
      <c r="BF117" s="1">
        <f t="shared" si="103"/>
        <v>397.25300497887901</v>
      </c>
    </row>
    <row r="118" spans="1:58" customFormat="1" x14ac:dyDescent="0.15">
      <c r="A118" s="6">
        <v>174</v>
      </c>
      <c r="B118">
        <v>0.16665140891300001</v>
      </c>
      <c r="C118">
        <v>0.20525844804400001</v>
      </c>
      <c r="D118" s="4">
        <v>0.15571641497499999</v>
      </c>
      <c r="E118" s="4">
        <v>0.26083074327450001</v>
      </c>
      <c r="F118">
        <v>0.23929796305100001</v>
      </c>
      <c r="G118" s="1">
        <f t="shared" si="52"/>
        <v>1.16583733985801</v>
      </c>
      <c r="H118" s="1">
        <f t="shared" si="53"/>
        <v>3.4039515006999997E-2</v>
      </c>
      <c r="I118" s="1">
        <f t="shared" si="54"/>
        <v>7.65696189672673E-2</v>
      </c>
      <c r="J118" s="1">
        <f t="shared" si="55"/>
        <v>-0.75453913189532495</v>
      </c>
      <c r="K118" s="1">
        <f t="shared" si="56"/>
        <v>0.165837339858008</v>
      </c>
      <c r="L118" s="1">
        <f t="shared" si="57"/>
        <v>0.112685855028361</v>
      </c>
      <c r="M118" s="1">
        <f t="shared" si="58"/>
        <v>5.4056350590335103E-2</v>
      </c>
      <c r="N118" s="1">
        <f t="shared" si="59"/>
        <v>4.75737057364558E-2</v>
      </c>
      <c r="O118" s="1">
        <f t="shared" si="60"/>
        <v>6.5313735299906001E-2</v>
      </c>
      <c r="P118" s="1">
        <f t="shared" si="61"/>
        <v>5.1052842172758302E-2</v>
      </c>
      <c r="Q118" s="2">
        <f t="shared" si="62"/>
        <v>0.21159115395667599</v>
      </c>
      <c r="R118" s="1">
        <f t="shared" si="63"/>
        <v>1.5367548956827599</v>
      </c>
      <c r="S118" s="2">
        <f t="shared" si="64"/>
        <v>0.174688439807623</v>
      </c>
      <c r="T118" s="1">
        <f t="shared" si="65"/>
        <v>-0.68860361528177405</v>
      </c>
      <c r="U118" s="1">
        <f t="shared" si="66"/>
        <v>0.14007855649259501</v>
      </c>
      <c r="V118" s="2">
        <f t="shared" si="67"/>
        <v>0.123344732667915</v>
      </c>
      <c r="W118" s="2">
        <f t="shared" si="68"/>
        <v>8.3581548076000003E-2</v>
      </c>
      <c r="X118" s="1">
        <f t="shared" si="69"/>
        <v>0.132985398472487</v>
      </c>
      <c r="Y118" s="2">
        <f t="shared" si="70"/>
        <v>0.84355862508581803</v>
      </c>
      <c r="Z118" s="1">
        <f t="shared" si="71"/>
        <v>0.23965918529358801</v>
      </c>
      <c r="AA118" s="1">
        <f t="shared" si="72"/>
        <v>2.5309403196342202</v>
      </c>
      <c r="AB118" s="1">
        <f t="shared" si="73"/>
        <v>0.19750718901299999</v>
      </c>
      <c r="AC118" s="2">
        <f t="shared" si="74"/>
        <v>0.91744539024359295</v>
      </c>
      <c r="AD118" s="2">
        <f t="shared" si="75"/>
        <v>-2.1532780223499901E-2</v>
      </c>
      <c r="AE118" s="1">
        <f t="shared" si="76"/>
        <v>-4.3054477679762899E-2</v>
      </c>
      <c r="AF118" s="2">
        <f t="shared" si="77"/>
        <v>-3.0448031225613199E-2</v>
      </c>
      <c r="AG118" s="5">
        <f t="shared" si="78"/>
        <v>-3.2295013762696501E-2</v>
      </c>
      <c r="AH118" s="1">
        <f t="shared" si="79"/>
        <v>-8.6162220995278105</v>
      </c>
      <c r="AI118" s="1">
        <f t="shared" si="80"/>
        <v>-8.2554609756406994E-2</v>
      </c>
      <c r="AJ118" s="1">
        <f t="shared" si="81"/>
        <v>-5.9618332777081E-2</v>
      </c>
      <c r="AK118" s="2">
        <f t="shared" si="82"/>
        <v>-3.6087878729375703E-2</v>
      </c>
      <c r="AL118" s="2">
        <f t="shared" si="83"/>
        <v>-3.7838113719211003E-2</v>
      </c>
      <c r="AM118" s="1">
        <f t="shared" si="84"/>
        <v>1.5367548956827599</v>
      </c>
      <c r="AN118" s="1">
        <f t="shared" si="85"/>
        <v>0.1051143282995</v>
      </c>
      <c r="AO118" s="1">
        <f t="shared" si="86"/>
        <v>0.25234676606901602</v>
      </c>
      <c r="AP118" s="1">
        <f t="shared" si="87"/>
        <v>1.67503691448571</v>
      </c>
      <c r="AQ118" s="1">
        <f t="shared" si="88"/>
        <v>5.5572295230499898E-2</v>
      </c>
      <c r="AR118" s="1">
        <f t="shared" si="89"/>
        <v>0.11923103188317601</v>
      </c>
      <c r="AS118" s="1">
        <f t="shared" si="90"/>
        <v>-0.204851047158358</v>
      </c>
      <c r="AT118" s="1">
        <f t="shared" si="91"/>
        <v>0.29098693784332802</v>
      </c>
      <c r="AU118" s="2">
        <f t="shared" si="92"/>
        <v>0.36976962460797802</v>
      </c>
      <c r="AV118" s="2">
        <f t="shared" si="93"/>
        <v>0.23742863965538699</v>
      </c>
      <c r="AW118" s="2">
        <f t="shared" si="94"/>
        <v>0.36486962436571502</v>
      </c>
      <c r="AX118" s="2">
        <f t="shared" si="95"/>
        <v>-7.7105075453999902E-2</v>
      </c>
      <c r="AY118" s="7">
        <f t="shared" si="96"/>
        <v>2.4554271134242698</v>
      </c>
      <c r="AZ118" s="2">
        <f t="shared" si="97"/>
        <v>-4.2560148053323997E-2</v>
      </c>
      <c r="BA118" s="1">
        <f t="shared" si="98"/>
        <v>4.3407684191801001</v>
      </c>
      <c r="BB118" s="2">
        <f t="shared" si="99"/>
        <v>-2.6001029181038401E-2</v>
      </c>
      <c r="BC118" s="1">
        <f t="shared" si="100"/>
        <v>0.52283798453945296</v>
      </c>
      <c r="BD118" s="1">
        <f t="shared" si="101"/>
        <v>-0.11060724426554901</v>
      </c>
      <c r="BE118" s="2">
        <f t="shared" si="102"/>
        <v>-0.11769998408142</v>
      </c>
      <c r="BF118" s="1">
        <f t="shared" si="103"/>
        <v>-0.562291914997882</v>
      </c>
    </row>
    <row r="119" spans="1:58" customFormat="1" x14ac:dyDescent="0.15">
      <c r="A119" s="6">
        <v>210.5</v>
      </c>
      <c r="B119">
        <v>9.3323833603899994E-2</v>
      </c>
      <c r="C119">
        <v>0.13349750781</v>
      </c>
      <c r="D119" s="4">
        <v>7.3844414721499996E-2</v>
      </c>
      <c r="E119" s="4">
        <v>0.17732130301592999</v>
      </c>
      <c r="F119">
        <v>0.29510569518699997</v>
      </c>
      <c r="G119" s="1">
        <f t="shared" si="52"/>
        <v>2.2105708190972999</v>
      </c>
      <c r="H119" s="1">
        <f t="shared" si="53"/>
        <v>0.161608187377</v>
      </c>
      <c r="I119" s="1">
        <f t="shared" si="54"/>
        <v>0.37705781535685601</v>
      </c>
      <c r="J119" s="1">
        <f t="shared" si="55"/>
        <v>-0.58069216352128805</v>
      </c>
      <c r="K119" s="1">
        <f t="shared" si="56"/>
        <v>1.2105708190972999</v>
      </c>
      <c r="L119" s="1">
        <f t="shared" si="57"/>
        <v>0.67561467448804602</v>
      </c>
      <c r="M119" s="1">
        <f t="shared" si="58"/>
        <v>0.261050446825007</v>
      </c>
      <c r="N119" s="1">
        <f t="shared" si="59"/>
        <v>0.23924897645023499</v>
      </c>
      <c r="O119" s="1">
        <f t="shared" si="60"/>
        <v>0.318492146156866</v>
      </c>
      <c r="P119" s="1">
        <f t="shared" si="61"/>
        <v>0.246851433206601</v>
      </c>
      <c r="Q119" s="2">
        <f t="shared" si="62"/>
        <v>0.59970514853721801</v>
      </c>
      <c r="R119" s="1">
        <f t="shared" si="63"/>
        <v>3.9963170715073599</v>
      </c>
      <c r="S119" s="2">
        <f t="shared" si="64"/>
        <v>0.48523117876727301</v>
      </c>
      <c r="T119" s="1">
        <f t="shared" si="65"/>
        <v>-0.35175500678617999</v>
      </c>
      <c r="U119" s="1">
        <f t="shared" si="66"/>
        <v>0.38194588724224698</v>
      </c>
      <c r="V119" s="2">
        <f t="shared" si="67"/>
        <v>0.35959392084811598</v>
      </c>
      <c r="W119" s="2">
        <f t="shared" si="68"/>
        <v>0.2212612804655</v>
      </c>
      <c r="X119" s="1">
        <f t="shared" si="69"/>
        <v>0.36426848486672297</v>
      </c>
      <c r="Y119" s="2">
        <f t="shared" si="70"/>
        <v>1.0486682738298201</v>
      </c>
      <c r="Z119" s="1">
        <f t="shared" si="71"/>
        <v>0.99907905584230505</v>
      </c>
      <c r="AA119" s="1">
        <f t="shared" si="72"/>
        <v>3.0090550631701101</v>
      </c>
      <c r="AB119" s="1">
        <f t="shared" si="73"/>
        <v>0.18447505495425001</v>
      </c>
      <c r="AC119" s="2">
        <f t="shared" si="74"/>
        <v>1.66424276253197</v>
      </c>
      <c r="AD119" s="2">
        <f t="shared" si="75"/>
        <v>0.11778439217106999</v>
      </c>
      <c r="AE119" s="1">
        <f t="shared" si="76"/>
        <v>0.24931765673662001</v>
      </c>
      <c r="AF119" s="2">
        <f t="shared" si="77"/>
        <v>0.17136431558594201</v>
      </c>
      <c r="AG119" s="5">
        <f t="shared" si="78"/>
        <v>0.18168622280449601</v>
      </c>
      <c r="AH119" s="1">
        <f t="shared" si="79"/>
        <v>50.937022270266198</v>
      </c>
      <c r="AI119" s="1">
        <f t="shared" si="80"/>
        <v>0.66424276253197001</v>
      </c>
      <c r="AJ119" s="1">
        <f t="shared" si="81"/>
        <v>0.40694895141618198</v>
      </c>
      <c r="AK119" s="2">
        <f t="shared" si="82"/>
        <v>0.203321901041256</v>
      </c>
      <c r="AL119" s="2">
        <f t="shared" si="83"/>
        <v>0.21604057908134999</v>
      </c>
      <c r="AM119" s="1">
        <f t="shared" si="84"/>
        <v>3.9963170715073599</v>
      </c>
      <c r="AN119" s="1">
        <f t="shared" si="85"/>
        <v>0.10347688829443</v>
      </c>
      <c r="AO119" s="1">
        <f t="shared" si="86"/>
        <v>0.41198651323348701</v>
      </c>
      <c r="AP119" s="1">
        <f t="shared" si="87"/>
        <v>2.4012825300963798</v>
      </c>
      <c r="AQ119" s="1">
        <f t="shared" si="88"/>
        <v>4.3823795205930001E-2</v>
      </c>
      <c r="AR119" s="1">
        <f t="shared" si="89"/>
        <v>0.140994668532057</v>
      </c>
      <c r="AS119" s="1">
        <f t="shared" si="90"/>
        <v>1.13826762780042</v>
      </c>
      <c r="AT119" s="1">
        <f t="shared" si="91"/>
        <v>0.22032036414640599</v>
      </c>
      <c r="AU119" s="2">
        <f t="shared" si="92"/>
        <v>0.292645868018657</v>
      </c>
      <c r="AV119" s="2">
        <f t="shared" si="93"/>
        <v>0.13517898424553901</v>
      </c>
      <c r="AW119" s="2">
        <f t="shared" si="94"/>
        <v>0.540218082449473</v>
      </c>
      <c r="AX119" s="2">
        <f t="shared" si="95"/>
        <v>7.3960596965139999E-2</v>
      </c>
      <c r="AY119" s="7">
        <f t="shared" si="96"/>
        <v>1.36912172617431</v>
      </c>
      <c r="AZ119" s="2">
        <f t="shared" si="97"/>
        <v>0.21686588768729501</v>
      </c>
      <c r="BA119" s="1">
        <f t="shared" si="98"/>
        <v>1.8730258207761801</v>
      </c>
      <c r="BB119" s="2">
        <f t="shared" si="99"/>
        <v>0.14223077096831399</v>
      </c>
      <c r="BC119" s="1">
        <f t="shared" si="100"/>
        <v>0.741068209478289</v>
      </c>
      <c r="BD119" s="1">
        <f t="shared" si="101"/>
        <v>0.13241368572725101</v>
      </c>
      <c r="BE119" s="2">
        <f t="shared" si="102"/>
        <v>0.10124440420509</v>
      </c>
      <c r="BF119" s="1">
        <f t="shared" si="103"/>
        <v>0.66121864229404803</v>
      </c>
    </row>
    <row r="120" spans="1:58" customFormat="1" x14ac:dyDescent="0.15">
      <c r="A120" s="6">
        <v>210.5</v>
      </c>
      <c r="B120">
        <v>0.11258309371</v>
      </c>
      <c r="C120">
        <v>0.152206604951</v>
      </c>
      <c r="D120" s="4">
        <v>9.4761462910700006E-2</v>
      </c>
      <c r="E120" s="4">
        <v>0.19865669216891399</v>
      </c>
      <c r="F120">
        <v>0.27419275682799998</v>
      </c>
      <c r="G120" s="1">
        <f t="shared" si="52"/>
        <v>1.80145110599025</v>
      </c>
      <c r="H120" s="1">
        <f t="shared" si="53"/>
        <v>0.121986151877</v>
      </c>
      <c r="I120" s="1">
        <f t="shared" si="54"/>
        <v>0.28608427406658399</v>
      </c>
      <c r="J120" s="1">
        <f t="shared" si="55"/>
        <v>-0.64450134745826304</v>
      </c>
      <c r="K120" s="1">
        <f t="shared" si="56"/>
        <v>0.80145110599025005</v>
      </c>
      <c r="L120" s="1">
        <f t="shared" si="57"/>
        <v>0.47883458297942699</v>
      </c>
      <c r="M120" s="1">
        <f t="shared" si="58"/>
        <v>0.19751657369896899</v>
      </c>
      <c r="N120" s="1">
        <f t="shared" si="59"/>
        <v>0.17803663552172799</v>
      </c>
      <c r="O120" s="1">
        <f t="shared" si="60"/>
        <v>0.24130984001761199</v>
      </c>
      <c r="P120" s="1">
        <f t="shared" si="61"/>
        <v>0.18681091966453001</v>
      </c>
      <c r="Q120" s="2">
        <f t="shared" si="62"/>
        <v>0.48632400530444198</v>
      </c>
      <c r="R120" s="1">
        <f t="shared" si="63"/>
        <v>2.8935048954065801</v>
      </c>
      <c r="S120" s="2">
        <f t="shared" si="64"/>
        <v>0.39349397958652799</v>
      </c>
      <c r="T120" s="1">
        <f t="shared" si="65"/>
        <v>-0.48453788387198499</v>
      </c>
      <c r="U120" s="1">
        <f t="shared" si="66"/>
        <v>0.30973661760556698</v>
      </c>
      <c r="V120" s="2">
        <f t="shared" si="67"/>
        <v>0.28377269515602999</v>
      </c>
      <c r="W120" s="2">
        <f t="shared" si="68"/>
        <v>0.17943129391730001</v>
      </c>
      <c r="X120" s="1">
        <f t="shared" si="69"/>
        <v>0.29540099108638701</v>
      </c>
      <c r="Y120" s="2">
        <f t="shared" si="70"/>
        <v>0.99313846230243397</v>
      </c>
      <c r="Z120" s="1">
        <f t="shared" si="71"/>
        <v>0.70103053923396197</v>
      </c>
      <c r="AA120" s="1">
        <f t="shared" si="72"/>
        <v>2.8618276522730501</v>
      </c>
      <c r="AB120" s="1">
        <f t="shared" si="73"/>
        <v>0.18447710986935001</v>
      </c>
      <c r="AC120" s="2">
        <f t="shared" si="74"/>
        <v>1.3802341810607599</v>
      </c>
      <c r="AD120" s="2">
        <f t="shared" si="75"/>
        <v>7.5536064659085994E-2</v>
      </c>
      <c r="AE120" s="1">
        <f t="shared" si="76"/>
        <v>0.15974654262435001</v>
      </c>
      <c r="AF120" s="2">
        <f t="shared" si="77"/>
        <v>0.10984819148597</v>
      </c>
      <c r="AG120" s="5">
        <f t="shared" si="78"/>
        <v>0.116466219007941</v>
      </c>
      <c r="AH120" s="1">
        <f t="shared" si="79"/>
        <v>32.225318119314302</v>
      </c>
      <c r="AI120" s="1">
        <f t="shared" si="80"/>
        <v>0.38023418106075701</v>
      </c>
      <c r="AJ120" s="1">
        <f t="shared" si="81"/>
        <v>0.24645708716135001</v>
      </c>
      <c r="AK120" s="2">
        <f t="shared" si="82"/>
        <v>0.13039133065341499</v>
      </c>
      <c r="AL120" s="2">
        <f t="shared" si="83"/>
        <v>0.138456050081774</v>
      </c>
      <c r="AM120" s="1">
        <f t="shared" si="84"/>
        <v>2.8935048954065801</v>
      </c>
      <c r="AN120" s="1">
        <f t="shared" si="85"/>
        <v>0.103895229258214</v>
      </c>
      <c r="AO120" s="1">
        <f t="shared" si="86"/>
        <v>0.354085892299418</v>
      </c>
      <c r="AP120" s="1">
        <f t="shared" si="87"/>
        <v>2.0963869284724002</v>
      </c>
      <c r="AQ120" s="1">
        <f t="shared" si="88"/>
        <v>4.6450087217914E-2</v>
      </c>
      <c r="AR120" s="1">
        <f t="shared" si="89"/>
        <v>0.13238799156025399</v>
      </c>
      <c r="AS120" s="1">
        <f t="shared" si="90"/>
        <v>0.72704074285599596</v>
      </c>
      <c r="AT120" s="1">
        <f t="shared" si="91"/>
        <v>0.24350872852066399</v>
      </c>
      <c r="AU120" s="2">
        <f t="shared" si="92"/>
        <v>0.31782220316750698</v>
      </c>
      <c r="AV120" s="2">
        <f t="shared" si="93"/>
        <v>0.16694792316840401</v>
      </c>
      <c r="AW120" s="2">
        <f t="shared" si="94"/>
        <v>0.48306463296573898</v>
      </c>
      <c r="AX120" s="2">
        <f t="shared" si="95"/>
        <v>2.90859774411719E-2</v>
      </c>
      <c r="AY120" s="7">
        <f t="shared" si="96"/>
        <v>1.47091527322071</v>
      </c>
      <c r="AZ120" s="2">
        <f t="shared" si="97"/>
        <v>0.14256570446109901</v>
      </c>
      <c r="BA120" s="1">
        <f t="shared" si="98"/>
        <v>2.25574541798564</v>
      </c>
      <c r="BB120" s="2">
        <f t="shared" si="99"/>
        <v>7.0583567057945107E-2</v>
      </c>
      <c r="BC120" s="1">
        <f t="shared" si="100"/>
        <v>0.66789386619923397</v>
      </c>
      <c r="BD120" s="1">
        <f t="shared" si="101"/>
        <v>7.8013870967287999E-2</v>
      </c>
      <c r="BE120" s="2">
        <f t="shared" si="102"/>
        <v>3.63097970491379E-2</v>
      </c>
      <c r="BF120" s="1">
        <f t="shared" si="103"/>
        <v>0.55838980714882003</v>
      </c>
    </row>
    <row r="121" spans="1:58" customFormat="1" x14ac:dyDescent="0.15">
      <c r="A121" s="6">
        <v>208.5</v>
      </c>
      <c r="B121">
        <v>0.112584328787</v>
      </c>
      <c r="C121">
        <v>0.15218870009400001</v>
      </c>
      <c r="D121" s="4">
        <v>9.3117212349900003E-2</v>
      </c>
      <c r="E121" s="4">
        <v>0.196979556596898</v>
      </c>
      <c r="F121">
        <v>0.28132125926099999</v>
      </c>
      <c r="G121" s="1">
        <f t="shared" si="52"/>
        <v>1.84850293804494</v>
      </c>
      <c r="H121" s="1">
        <f t="shared" si="53"/>
        <v>0.12913255916700001</v>
      </c>
      <c r="I121" s="1">
        <f t="shared" si="54"/>
        <v>0.297876799322282</v>
      </c>
      <c r="J121" s="1">
        <f t="shared" si="55"/>
        <v>-0.63690185369780605</v>
      </c>
      <c r="K121" s="1">
        <f t="shared" si="56"/>
        <v>0.84850293804494503</v>
      </c>
      <c r="L121" s="1">
        <f t="shared" si="57"/>
        <v>0.502741821813524</v>
      </c>
      <c r="M121" s="1">
        <f t="shared" si="58"/>
        <v>0.20749520324810899</v>
      </c>
      <c r="N121" s="1">
        <f t="shared" si="59"/>
        <v>0.18785871466429599</v>
      </c>
      <c r="O121" s="1">
        <f t="shared" si="60"/>
        <v>0.25238627637606798</v>
      </c>
      <c r="P121" s="1">
        <f t="shared" si="61"/>
        <v>0.19612647300392999</v>
      </c>
      <c r="Q121" s="2">
        <f t="shared" si="62"/>
        <v>0.50263010128583496</v>
      </c>
      <c r="R121" s="1">
        <f t="shared" si="63"/>
        <v>3.0211520744832701</v>
      </c>
      <c r="S121" s="2">
        <f t="shared" si="64"/>
        <v>0.40849734069261101</v>
      </c>
      <c r="T121" s="1">
        <f t="shared" si="65"/>
        <v>-0.46784870190533401</v>
      </c>
      <c r="U121" s="1">
        <f t="shared" si="66"/>
        <v>0.32284269223263101</v>
      </c>
      <c r="V121" s="2">
        <f t="shared" si="67"/>
        <v>0.29752913825137201</v>
      </c>
      <c r="W121" s="2">
        <f t="shared" si="68"/>
        <v>0.18820404691109999</v>
      </c>
      <c r="X121" s="1">
        <f t="shared" si="69"/>
        <v>0.307566284175184</v>
      </c>
      <c r="Y121" s="2">
        <f t="shared" si="70"/>
        <v>1.0013141870990501</v>
      </c>
      <c r="Z121" s="1">
        <f t="shared" si="71"/>
        <v>0.73814616027630897</v>
      </c>
      <c r="AA121" s="1">
        <f t="shared" si="72"/>
        <v>2.88106389972888</v>
      </c>
      <c r="AB121" s="1">
        <f t="shared" si="73"/>
        <v>0.18721923580545</v>
      </c>
      <c r="AC121" s="2">
        <f t="shared" si="74"/>
        <v>1.42817490363581</v>
      </c>
      <c r="AD121" s="2">
        <f t="shared" si="75"/>
        <v>8.4341702664102E-2</v>
      </c>
      <c r="AE121" s="1">
        <f t="shared" si="76"/>
        <v>0.176336104534598</v>
      </c>
      <c r="AF121" s="2">
        <f t="shared" si="77"/>
        <v>0.121952807665929</v>
      </c>
      <c r="AG121" s="5">
        <f t="shared" si="78"/>
        <v>0.12931866348819401</v>
      </c>
      <c r="AH121" s="1">
        <f t="shared" si="79"/>
        <v>35.639733795482599</v>
      </c>
      <c r="AI121" s="1">
        <f t="shared" si="80"/>
        <v>0.42817490363581301</v>
      </c>
      <c r="AJ121" s="1">
        <f t="shared" si="81"/>
        <v>0.27477753650292502</v>
      </c>
      <c r="AK121" s="2">
        <f t="shared" si="82"/>
        <v>0.14467862302889101</v>
      </c>
      <c r="AL121" s="2">
        <f t="shared" si="83"/>
        <v>0.153276280806351</v>
      </c>
      <c r="AM121" s="1">
        <f t="shared" si="84"/>
        <v>3.0211520744832701</v>
      </c>
      <c r="AN121" s="1">
        <f t="shared" si="85"/>
        <v>0.103862344246998</v>
      </c>
      <c r="AO121" s="1">
        <f t="shared" si="86"/>
        <v>0.35802654619033603</v>
      </c>
      <c r="AP121" s="1">
        <f t="shared" si="87"/>
        <v>2.11539361656062</v>
      </c>
      <c r="AQ121" s="1">
        <f t="shared" si="88"/>
        <v>4.4790856502897998E-2</v>
      </c>
      <c r="AR121" s="1">
        <f t="shared" si="89"/>
        <v>0.12827871848198699</v>
      </c>
      <c r="AS121" s="1">
        <f t="shared" si="90"/>
        <v>0.812052753821217</v>
      </c>
      <c r="AT121" s="1">
        <f t="shared" si="91"/>
        <v>0.24138180928231501</v>
      </c>
      <c r="AU121" s="2">
        <f t="shared" si="92"/>
        <v>0.31242320706872201</v>
      </c>
      <c r="AV121" s="2">
        <f t="shared" si="93"/>
        <v>0.16295812829349099</v>
      </c>
      <c r="AW121" s="2">
        <f t="shared" si="94"/>
        <v>0.49232128734779201</v>
      </c>
      <c r="AX121" s="2">
        <f t="shared" si="95"/>
        <v>3.9550846161204002E-2</v>
      </c>
      <c r="AY121" s="7">
        <f t="shared" si="96"/>
        <v>1.4574484399995999</v>
      </c>
      <c r="AZ121" s="2">
        <f t="shared" si="97"/>
        <v>0.15952255485544101</v>
      </c>
      <c r="BA121" s="1">
        <f t="shared" si="98"/>
        <v>2.2350015456796299</v>
      </c>
      <c r="BB121" s="2">
        <f t="shared" si="99"/>
        <v>8.3569927025869004E-2</v>
      </c>
      <c r="BC121" s="1">
        <f t="shared" si="100"/>
        <v>0.68976338042780305</v>
      </c>
      <c r="BD121" s="1">
        <f t="shared" si="101"/>
        <v>9.1752130055627795E-2</v>
      </c>
      <c r="BE121" s="2">
        <f t="shared" si="102"/>
        <v>5.1578315691786003E-2</v>
      </c>
      <c r="BF121" s="1">
        <f t="shared" si="103"/>
        <v>0.59197663240571796</v>
      </c>
    </row>
    <row r="122" spans="1:58" customFormat="1" x14ac:dyDescent="0.15">
      <c r="A122" s="6">
        <v>176.5</v>
      </c>
      <c r="B122">
        <v>0.108411424268</v>
      </c>
      <c r="C122">
        <v>0.14412055466099999</v>
      </c>
      <c r="D122" s="4">
        <v>9.1967277949400003E-2</v>
      </c>
      <c r="E122" s="4">
        <v>0.19580662350838801</v>
      </c>
      <c r="F122">
        <v>0.23374355621199999</v>
      </c>
      <c r="G122" s="1">
        <f t="shared" si="52"/>
        <v>1.6218613421368699</v>
      </c>
      <c r="H122" s="1">
        <f t="shared" si="53"/>
        <v>8.9623001551000003E-2</v>
      </c>
      <c r="I122" s="1">
        <f t="shared" si="54"/>
        <v>0.23718315386962599</v>
      </c>
      <c r="J122" s="1">
        <f t="shared" si="55"/>
        <v>-0.67416782996053903</v>
      </c>
      <c r="K122" s="1">
        <f t="shared" si="56"/>
        <v>0.62186134213687305</v>
      </c>
      <c r="L122" s="1">
        <f t="shared" si="57"/>
        <v>0.384050822675361</v>
      </c>
      <c r="M122" s="1">
        <f t="shared" si="58"/>
        <v>0.15313816872273101</v>
      </c>
      <c r="N122" s="1">
        <f t="shared" si="59"/>
        <v>0.134465988485131</v>
      </c>
      <c r="O122" s="1">
        <f t="shared" si="60"/>
        <v>0.193288006575526</v>
      </c>
      <c r="P122" s="1">
        <f t="shared" si="61"/>
        <v>0.145798032109931</v>
      </c>
      <c r="Q122" s="2">
        <f t="shared" si="62"/>
        <v>0.435282659932477</v>
      </c>
      <c r="R122" s="1">
        <f t="shared" si="63"/>
        <v>2.5415948087601801</v>
      </c>
      <c r="S122" s="2">
        <f t="shared" si="64"/>
        <v>0.33859751773617303</v>
      </c>
      <c r="T122" s="1">
        <f t="shared" si="65"/>
        <v>-0.53257717650152603</v>
      </c>
      <c r="U122" s="1">
        <f t="shared" si="66"/>
        <v>0.25755313918084199</v>
      </c>
      <c r="V122" s="2">
        <f t="shared" si="67"/>
        <v>0.228939584597837</v>
      </c>
      <c r="W122" s="2">
        <f t="shared" si="68"/>
        <v>0.1417762782626</v>
      </c>
      <c r="X122" s="1">
        <f t="shared" si="69"/>
        <v>0.248420521530472</v>
      </c>
      <c r="Y122" s="2">
        <f t="shared" si="70"/>
        <v>0.96710012921748501</v>
      </c>
      <c r="Z122" s="1">
        <f t="shared" si="71"/>
        <v>0.59423800254547399</v>
      </c>
      <c r="AA122" s="1">
        <f t="shared" si="72"/>
        <v>2.82161365606503</v>
      </c>
      <c r="AB122" s="1">
        <f t="shared" si="73"/>
        <v>0.1628554170807</v>
      </c>
      <c r="AC122" s="2">
        <f t="shared" si="74"/>
        <v>1.1937469326822201</v>
      </c>
      <c r="AD122" s="2">
        <f t="shared" si="75"/>
        <v>3.7936932703612002E-2</v>
      </c>
      <c r="AE122" s="1">
        <f t="shared" si="76"/>
        <v>8.8317813598184705E-2</v>
      </c>
      <c r="AF122" s="2">
        <f t="shared" si="77"/>
        <v>5.7883563737942803E-2</v>
      </c>
      <c r="AG122" s="5">
        <f t="shared" si="78"/>
        <v>6.1218211019587299E-2</v>
      </c>
      <c r="AH122" s="1">
        <f t="shared" si="79"/>
        <v>17.709704332863701</v>
      </c>
      <c r="AI122" s="1">
        <f t="shared" si="80"/>
        <v>0.19374693268221799</v>
      </c>
      <c r="AJ122" s="1">
        <f t="shared" si="81"/>
        <v>0.13081018876925499</v>
      </c>
      <c r="AK122" s="2">
        <f t="shared" si="82"/>
        <v>6.8916861328592899E-2</v>
      </c>
      <c r="AL122" s="2">
        <f t="shared" si="83"/>
        <v>7.4644777408195306E-2</v>
      </c>
      <c r="AM122" s="1">
        <f t="shared" si="84"/>
        <v>2.5415948087601801</v>
      </c>
      <c r="AN122" s="1">
        <f t="shared" si="85"/>
        <v>0.10383934555898799</v>
      </c>
      <c r="AO122" s="1">
        <f t="shared" si="86"/>
        <v>0.36083656312460899</v>
      </c>
      <c r="AP122" s="1">
        <f t="shared" si="87"/>
        <v>2.1290901272093801</v>
      </c>
      <c r="AQ122" s="1">
        <f t="shared" si="88"/>
        <v>5.1686068847388002E-2</v>
      </c>
      <c r="AR122" s="1">
        <f t="shared" si="89"/>
        <v>0.15205041599125199</v>
      </c>
      <c r="AS122" s="1">
        <f t="shared" si="90"/>
        <v>0.36534256354746703</v>
      </c>
      <c r="AT122" s="1">
        <f t="shared" si="91"/>
        <v>0.25122521687708399</v>
      </c>
      <c r="AU122" s="2">
        <f t="shared" si="92"/>
        <v>0.34132231570002303</v>
      </c>
      <c r="AV122" s="2">
        <f t="shared" si="93"/>
        <v>0.176345540493165</v>
      </c>
      <c r="AW122" s="2">
        <f t="shared" si="94"/>
        <v>0.44819891026543701</v>
      </c>
      <c r="AX122" s="2">
        <f t="shared" si="95"/>
        <v>-1.3749136143776E-2</v>
      </c>
      <c r="AY122" s="7">
        <f t="shared" si="96"/>
        <v>1.58191843398508</v>
      </c>
      <c r="AZ122" s="2">
        <f t="shared" si="97"/>
        <v>7.1434678074070404E-2</v>
      </c>
      <c r="BA122" s="1">
        <f t="shared" si="98"/>
        <v>2.3082597677985501</v>
      </c>
      <c r="BB122" s="2">
        <f t="shared" si="99"/>
        <v>2.3889660410452498E-2</v>
      </c>
      <c r="BC122" s="1">
        <f t="shared" si="100"/>
        <v>0.55140710661414705</v>
      </c>
      <c r="BD122" s="1">
        <f t="shared" si="101"/>
        <v>1.22637997289884E-2</v>
      </c>
      <c r="BE122" s="2">
        <f t="shared" si="102"/>
        <v>-2.6001084308724099E-2</v>
      </c>
      <c r="BF122" s="1">
        <f t="shared" si="103"/>
        <v>0.37236124133306298</v>
      </c>
    </row>
    <row r="123" spans="1:58" customFormat="1" x14ac:dyDescent="0.15">
      <c r="A123" s="6">
        <v>178</v>
      </c>
      <c r="B123">
        <v>0.125338827845</v>
      </c>
      <c r="C123">
        <v>0.165748308506</v>
      </c>
      <c r="D123" s="4">
        <v>0.111439851893</v>
      </c>
      <c r="E123" s="4">
        <v>0.21566864893085999</v>
      </c>
      <c r="F123">
        <v>0.23211128103799999</v>
      </c>
      <c r="G123" s="1">
        <f t="shared" si="52"/>
        <v>1.40038401073395</v>
      </c>
      <c r="H123" s="1">
        <f t="shared" si="53"/>
        <v>6.6362972532000006E-2</v>
      </c>
      <c r="I123" s="1">
        <f t="shared" si="54"/>
        <v>0.16679998239595201</v>
      </c>
      <c r="J123" s="1">
        <f t="shared" si="55"/>
        <v>-0.71226121301180301</v>
      </c>
      <c r="K123" s="1">
        <f t="shared" si="56"/>
        <v>0.40038401073394803</v>
      </c>
      <c r="L123" s="1">
        <f t="shared" si="57"/>
        <v>0.25842609377159098</v>
      </c>
      <c r="M123" s="1">
        <f t="shared" si="58"/>
        <v>0.110868625737523</v>
      </c>
      <c r="N123" s="1">
        <f t="shared" si="59"/>
        <v>9.7082948788877896E-2</v>
      </c>
      <c r="O123" s="1">
        <f t="shared" si="60"/>
        <v>0.13799359118312399</v>
      </c>
      <c r="P123" s="1">
        <f t="shared" si="61"/>
        <v>0.105210943585164</v>
      </c>
      <c r="Q123" s="2">
        <f t="shared" si="62"/>
        <v>0.35124736197343898</v>
      </c>
      <c r="R123" s="1">
        <f t="shared" si="63"/>
        <v>2.0828391019476902</v>
      </c>
      <c r="S123" s="2">
        <f t="shared" si="64"/>
        <v>0.27798340357895901</v>
      </c>
      <c r="T123" s="1">
        <f t="shared" si="65"/>
        <v>-0.60007591754283396</v>
      </c>
      <c r="U123" s="1">
        <f t="shared" si="66"/>
        <v>0.21457755985529101</v>
      </c>
      <c r="V123" s="2">
        <f t="shared" si="67"/>
        <v>0.18930001592543699</v>
      </c>
      <c r="W123" s="2">
        <f t="shared" si="68"/>
        <v>0.12067142914499999</v>
      </c>
      <c r="X123" s="1">
        <f t="shared" si="69"/>
        <v>0.20587744206868799</v>
      </c>
      <c r="Y123" s="2">
        <f t="shared" si="70"/>
        <v>0.92263067474121996</v>
      </c>
      <c r="Z123" s="1">
        <f t="shared" si="71"/>
        <v>0.44320445604484399</v>
      </c>
      <c r="AA123" s="1">
        <f t="shared" si="72"/>
        <v>2.7217869958572698</v>
      </c>
      <c r="AB123" s="1">
        <f t="shared" si="73"/>
        <v>0.17177556646549999</v>
      </c>
      <c r="AC123" s="2">
        <f t="shared" si="74"/>
        <v>1.0762402518337799</v>
      </c>
      <c r="AD123" s="2">
        <f t="shared" si="75"/>
        <v>1.644263210714E-2</v>
      </c>
      <c r="AE123" s="1">
        <f t="shared" si="76"/>
        <v>3.6720341861421597E-2</v>
      </c>
      <c r="AF123" s="2">
        <f t="shared" si="77"/>
        <v>2.45719163289266E-2</v>
      </c>
      <c r="AG123" s="5">
        <f t="shared" si="78"/>
        <v>2.6022863937961101E-2</v>
      </c>
      <c r="AH123" s="1">
        <f t="shared" si="79"/>
        <v>7.3473719189195696</v>
      </c>
      <c r="AI123" s="1">
        <f t="shared" si="80"/>
        <v>7.6240251833780595E-2</v>
      </c>
      <c r="AJ123" s="1">
        <f t="shared" si="81"/>
        <v>5.2910945095861799E-2</v>
      </c>
      <c r="AK123" s="2">
        <f t="shared" si="82"/>
        <v>2.9238237254228701E-2</v>
      </c>
      <c r="AL123" s="2">
        <f t="shared" si="83"/>
        <v>3.1382170262284903E-2</v>
      </c>
      <c r="AM123" s="1">
        <f t="shared" si="84"/>
        <v>2.0828391019476902</v>
      </c>
      <c r="AN123" s="1">
        <f t="shared" si="85"/>
        <v>0.10422879703786</v>
      </c>
      <c r="AO123" s="1">
        <f t="shared" si="86"/>
        <v>0.31863677273855001</v>
      </c>
      <c r="AP123" s="1">
        <f t="shared" si="87"/>
        <v>1.93529195586096</v>
      </c>
      <c r="AQ123" s="1">
        <f t="shared" si="88"/>
        <v>4.9920340424860002E-2</v>
      </c>
      <c r="AR123" s="1">
        <f t="shared" si="89"/>
        <v>0.13088128215464501</v>
      </c>
      <c r="AS123" s="1">
        <f t="shared" si="90"/>
        <v>0.15775517490782701</v>
      </c>
      <c r="AT123" s="1">
        <f t="shared" si="91"/>
        <v>0.270155957153701</v>
      </c>
      <c r="AU123" s="2">
        <f t="shared" si="92"/>
        <v>0.35152196004372999</v>
      </c>
      <c r="AV123" s="2">
        <f t="shared" si="93"/>
        <v>0.19927737806765999</v>
      </c>
      <c r="AW123" s="2">
        <f t="shared" si="94"/>
        <v>0.41506271517293503</v>
      </c>
      <c r="AX123" s="2">
        <f t="shared" si="95"/>
        <v>-3.3477708317719998E-2</v>
      </c>
      <c r="AY123" s="7">
        <f t="shared" si="96"/>
        <v>1.81835479245317</v>
      </c>
      <c r="AZ123" s="2">
        <f t="shared" si="97"/>
        <v>3.2039152218334602E-2</v>
      </c>
      <c r="BA123" s="1">
        <f t="shared" si="98"/>
        <v>2.9921683539255701</v>
      </c>
      <c r="BB123" s="2">
        <f t="shared" si="99"/>
        <v>3.41172206574295E-3</v>
      </c>
      <c r="BC123" s="1">
        <f t="shared" si="100"/>
        <v>0.53358922726568503</v>
      </c>
      <c r="BD123" s="1">
        <f t="shared" si="101"/>
        <v>-2.8594973253874299E-2</v>
      </c>
      <c r="BE123" s="2">
        <f t="shared" si="102"/>
        <v>-5.4198340828500099E-2</v>
      </c>
      <c r="BF123" s="1">
        <f t="shared" si="103"/>
        <v>0.22014595765516501</v>
      </c>
    </row>
    <row r="124" spans="1:58" customFormat="1" x14ac:dyDescent="0.15">
      <c r="A124" s="6">
        <v>180.5</v>
      </c>
      <c r="B124">
        <v>0.118192909102</v>
      </c>
      <c r="C124">
        <v>0.157171519615</v>
      </c>
      <c r="D124" s="4">
        <v>0.106407957414</v>
      </c>
      <c r="E124" s="4">
        <v>0.21053611656228</v>
      </c>
      <c r="F124">
        <v>0.22502316009699999</v>
      </c>
      <c r="G124" s="1">
        <f t="shared" si="52"/>
        <v>1.4317044248742199</v>
      </c>
      <c r="H124" s="1">
        <f t="shared" si="53"/>
        <v>6.7851640482E-2</v>
      </c>
      <c r="I124" s="1">
        <f t="shared" si="54"/>
        <v>0.17753161957442501</v>
      </c>
      <c r="J124" s="1">
        <f t="shared" si="55"/>
        <v>-0.70676930078004796</v>
      </c>
      <c r="K124" s="1">
        <f t="shared" si="56"/>
        <v>0.43170442487421501</v>
      </c>
      <c r="L124" s="1">
        <f t="shared" si="57"/>
        <v>0.27684144510055803</v>
      </c>
      <c r="M124" s="1">
        <f t="shared" si="58"/>
        <v>0.11536848165557501</v>
      </c>
      <c r="N124" s="1">
        <f t="shared" si="59"/>
        <v>0.10055914855346799</v>
      </c>
      <c r="O124" s="1">
        <f t="shared" si="60"/>
        <v>0.14516539151754099</v>
      </c>
      <c r="P124" s="1">
        <f t="shared" si="61"/>
        <v>0.109753412819607</v>
      </c>
      <c r="Q124" s="2">
        <f t="shared" si="62"/>
        <v>0.35788794840322502</v>
      </c>
      <c r="R124" s="1">
        <f t="shared" si="63"/>
        <v>2.1147211690334902</v>
      </c>
      <c r="S124" s="2">
        <f t="shared" si="64"/>
        <v>0.27998559759334002</v>
      </c>
      <c r="T124" s="1">
        <f t="shared" si="65"/>
        <v>-0.59519331210333204</v>
      </c>
      <c r="U124" s="1">
        <f t="shared" si="66"/>
        <v>0.21399584436668101</v>
      </c>
      <c r="V124" s="2">
        <f t="shared" si="67"/>
        <v>0.18796806300635699</v>
      </c>
      <c r="W124" s="2">
        <f t="shared" si="68"/>
        <v>0.11861520268300001</v>
      </c>
      <c r="X124" s="1">
        <f t="shared" si="69"/>
        <v>0.20603628694395501</v>
      </c>
      <c r="Y124" s="2">
        <f t="shared" si="70"/>
        <v>0.92622240763394703</v>
      </c>
      <c r="Z124" s="1">
        <f t="shared" si="71"/>
        <v>0.45420809000414097</v>
      </c>
      <c r="AA124" s="1">
        <f t="shared" si="72"/>
        <v>2.73795754076095</v>
      </c>
      <c r="AB124" s="1">
        <f t="shared" si="73"/>
        <v>0.16571555875550001</v>
      </c>
      <c r="AC124" s="2">
        <f t="shared" si="74"/>
        <v>1.0688102534200301</v>
      </c>
      <c r="AD124" s="2">
        <f t="shared" si="75"/>
        <v>1.4487043534720001E-2</v>
      </c>
      <c r="AE124" s="1">
        <f t="shared" si="76"/>
        <v>3.3260785181376401E-2</v>
      </c>
      <c r="AF124" s="2">
        <f t="shared" si="77"/>
        <v>2.19510920667189E-2</v>
      </c>
      <c r="AG124" s="5">
        <f t="shared" si="78"/>
        <v>2.3227352712140398E-2</v>
      </c>
      <c r="AH124" s="1">
        <f t="shared" si="79"/>
        <v>6.6546117148719404</v>
      </c>
      <c r="AI124" s="1">
        <f t="shared" si="80"/>
        <v>6.8810253420032594E-2</v>
      </c>
      <c r="AJ124" s="1">
        <f t="shared" si="81"/>
        <v>4.7840182454499197E-2</v>
      </c>
      <c r="AK124" s="2">
        <f t="shared" si="82"/>
        <v>2.61363387109366E-2</v>
      </c>
      <c r="AL124" s="2">
        <f t="shared" si="83"/>
        <v>2.8217124909111799E-2</v>
      </c>
      <c r="AM124" s="1">
        <f t="shared" si="84"/>
        <v>2.1147211690334902</v>
      </c>
      <c r="AN124" s="1">
        <f t="shared" si="85"/>
        <v>0.10412815914828</v>
      </c>
      <c r="AO124" s="1">
        <f t="shared" si="86"/>
        <v>0.32853795889578002</v>
      </c>
      <c r="AP124" s="1">
        <f t="shared" si="87"/>
        <v>1.9785749269027899</v>
      </c>
      <c r="AQ124" s="1">
        <f t="shared" si="88"/>
        <v>5.3364596947279998E-2</v>
      </c>
      <c r="AR124" s="1">
        <f t="shared" si="89"/>
        <v>0.145127790932119</v>
      </c>
      <c r="AS124" s="1">
        <f t="shared" si="90"/>
        <v>0.13912704933244999</v>
      </c>
      <c r="AT124" s="1">
        <f t="shared" si="91"/>
        <v>0.26516509788749099</v>
      </c>
      <c r="AU124" s="2">
        <f t="shared" si="92"/>
        <v>0.35519685814478402</v>
      </c>
      <c r="AV124" s="2">
        <f t="shared" si="93"/>
        <v>0.196336513951713</v>
      </c>
      <c r="AW124" s="2">
        <f t="shared" si="94"/>
        <v>0.41519698230792701</v>
      </c>
      <c r="AX124" s="2">
        <f t="shared" si="95"/>
        <v>-3.8877553412560002E-2</v>
      </c>
      <c r="AY124" s="7">
        <f t="shared" si="96"/>
        <v>1.7481552669970699</v>
      </c>
      <c r="AZ124" s="2">
        <f t="shared" si="97"/>
        <v>2.7658568920483899E-2</v>
      </c>
      <c r="BA124" s="1">
        <f t="shared" si="98"/>
        <v>2.7127560608913202</v>
      </c>
      <c r="BB124" s="2">
        <f t="shared" si="99"/>
        <v>9.7979485994485207E-4</v>
      </c>
      <c r="BC124" s="1">
        <f t="shared" si="100"/>
        <v>0.51623127085271303</v>
      </c>
      <c r="BD124" s="1">
        <f t="shared" si="101"/>
        <v>-3.2605156299291498E-2</v>
      </c>
      <c r="BE124" s="2">
        <f t="shared" si="102"/>
        <v>-6.2387428547759999E-2</v>
      </c>
      <c r="BF124" s="1">
        <f t="shared" si="103"/>
        <v>0.187351330771997</v>
      </c>
    </row>
    <row r="125" spans="1:58" customFormat="1" x14ac:dyDescent="0.15">
      <c r="A125" s="6">
        <v>147.5</v>
      </c>
      <c r="B125">
        <v>0.15952870625599999</v>
      </c>
      <c r="C125">
        <v>0.19977499239400001</v>
      </c>
      <c r="D125" s="4">
        <v>0.158490394822</v>
      </c>
      <c r="E125" s="4">
        <v>0.26366020271843998</v>
      </c>
      <c r="F125">
        <v>0.21807640506000001</v>
      </c>
      <c r="G125" s="1">
        <f t="shared" si="52"/>
        <v>1.09161012820817</v>
      </c>
      <c r="H125" s="1">
        <f t="shared" si="53"/>
        <v>1.8301412666000001E-2</v>
      </c>
      <c r="I125" s="1">
        <f t="shared" si="54"/>
        <v>4.3798854754374103E-2</v>
      </c>
      <c r="J125" s="1">
        <f t="shared" si="55"/>
        <v>-0.76835720391056295</v>
      </c>
      <c r="K125" s="1">
        <f t="shared" si="56"/>
        <v>9.1610128208167399E-2</v>
      </c>
      <c r="L125" s="1">
        <f t="shared" si="57"/>
        <v>6.3343655557751899E-2</v>
      </c>
      <c r="M125" s="1">
        <f t="shared" si="58"/>
        <v>2.9909110641601198E-2</v>
      </c>
      <c r="N125" s="1">
        <f t="shared" si="59"/>
        <v>2.5955824400897502E-2</v>
      </c>
      <c r="O125" s="1">
        <f t="shared" si="60"/>
        <v>3.6738924204557197E-2</v>
      </c>
      <c r="P125" s="1">
        <f t="shared" si="61"/>
        <v>2.8312204350032399E-2</v>
      </c>
      <c r="Q125" s="2">
        <f t="shared" si="62"/>
        <v>0.15823490083743899</v>
      </c>
      <c r="R125" s="1">
        <f t="shared" si="63"/>
        <v>1.3759597564566699</v>
      </c>
      <c r="S125" s="2">
        <f t="shared" si="64"/>
        <v>0.128818577465621</v>
      </c>
      <c r="T125" s="1">
        <f t="shared" si="65"/>
        <v>-0.71656849912099496</v>
      </c>
      <c r="U125" s="1">
        <f t="shared" si="66"/>
        <v>0.101964864935601</v>
      </c>
      <c r="V125" s="2">
        <f t="shared" si="67"/>
        <v>8.8424355886892694E-2</v>
      </c>
      <c r="W125" s="2">
        <f t="shared" si="68"/>
        <v>5.9586010238000003E-2</v>
      </c>
      <c r="X125" s="1">
        <f t="shared" si="69"/>
        <v>9.7100908447390694E-2</v>
      </c>
      <c r="Y125" s="2">
        <f t="shared" si="70"/>
        <v>0.81131676972526501</v>
      </c>
      <c r="Z125" s="1">
        <f t="shared" si="71"/>
        <v>0.17301311009581899</v>
      </c>
      <c r="AA125" s="1">
        <f t="shared" si="72"/>
        <v>2.4962729480520101</v>
      </c>
      <c r="AB125" s="1">
        <f t="shared" si="73"/>
        <v>0.18828339994099999</v>
      </c>
      <c r="AC125" s="2">
        <f t="shared" si="74"/>
        <v>0.82711157319742201</v>
      </c>
      <c r="AD125" s="2">
        <f t="shared" si="75"/>
        <v>-4.5583797658439999E-2</v>
      </c>
      <c r="AE125" s="1">
        <f t="shared" si="76"/>
        <v>-9.4623902195543494E-2</v>
      </c>
      <c r="AF125" s="2">
        <f t="shared" si="77"/>
        <v>-6.5675846483571595E-2</v>
      </c>
      <c r="AG125" s="5">
        <f t="shared" si="78"/>
        <v>-6.9647699745440397E-2</v>
      </c>
      <c r="AH125" s="1">
        <f t="shared" si="79"/>
        <v>-18.981567988135801</v>
      </c>
      <c r="AI125" s="1">
        <f t="shared" si="80"/>
        <v>-0.17288842680257799</v>
      </c>
      <c r="AJ125" s="1">
        <f t="shared" si="81"/>
        <v>-0.12790378254183299</v>
      </c>
      <c r="AK125" s="2">
        <f t="shared" si="82"/>
        <v>-7.8003976989391405E-2</v>
      </c>
      <c r="AL125" s="2">
        <f t="shared" si="83"/>
        <v>-8.2397053000981796E-2</v>
      </c>
      <c r="AM125" s="1">
        <f t="shared" si="84"/>
        <v>1.3759597564566699</v>
      </c>
      <c r="AN125" s="1">
        <f t="shared" si="85"/>
        <v>0.10516980789644</v>
      </c>
      <c r="AO125" s="1">
        <f t="shared" si="86"/>
        <v>0.249128648660423</v>
      </c>
      <c r="AP125" s="1">
        <f t="shared" si="87"/>
        <v>1.6635721238158001</v>
      </c>
      <c r="AQ125" s="1">
        <f t="shared" si="88"/>
        <v>6.388521032444E-2</v>
      </c>
      <c r="AR125" s="1">
        <f t="shared" si="89"/>
        <v>0.137851442873129</v>
      </c>
      <c r="AS125" s="1">
        <f t="shared" si="90"/>
        <v>-0.43343045471116598</v>
      </c>
      <c r="AT125" s="1">
        <f t="shared" si="91"/>
        <v>0.29313513129263202</v>
      </c>
      <c r="AU125" s="2">
        <f t="shared" si="92"/>
        <v>0.38687559045469999</v>
      </c>
      <c r="AV125" s="2">
        <f t="shared" si="93"/>
        <v>0.24755343679390601</v>
      </c>
      <c r="AW125" s="2">
        <f t="shared" si="94"/>
        <v>0.340623566600954</v>
      </c>
      <c r="AX125" s="2">
        <f t="shared" si="95"/>
        <v>-0.10946900798288001</v>
      </c>
      <c r="AY125" s="7">
        <f t="shared" si="96"/>
        <v>3.2558148010452599</v>
      </c>
      <c r="AZ125" s="2">
        <f t="shared" si="97"/>
        <v>-8.7544971884774295E-2</v>
      </c>
      <c r="BA125" s="1">
        <f t="shared" si="98"/>
        <v>4.3068588810460504</v>
      </c>
      <c r="BB125" s="2">
        <f t="shared" si="99"/>
        <v>-4.0730348637967297E-2</v>
      </c>
      <c r="BC125" s="1">
        <f t="shared" si="100"/>
        <v>0.45757520995129802</v>
      </c>
      <c r="BD125" s="1">
        <f t="shared" si="101"/>
        <v>-0.166321960176426</v>
      </c>
      <c r="BE125" s="2">
        <f t="shared" si="102"/>
        <v>-0.16530159673427999</v>
      </c>
      <c r="BF125" s="1">
        <f t="shared" si="103"/>
        <v>-2.1604195526617902</v>
      </c>
    </row>
    <row r="126" spans="1:58" customFormat="1" x14ac:dyDescent="0.15">
      <c r="A126" s="6">
        <v>128</v>
      </c>
      <c r="B126">
        <v>0.15067837664299999</v>
      </c>
      <c r="C126">
        <v>0.18846726212199999</v>
      </c>
      <c r="D126" s="4">
        <v>0.148346543778</v>
      </c>
      <c r="E126" s="4">
        <v>0.25331347465356002</v>
      </c>
      <c r="F126">
        <v>0.212542240582</v>
      </c>
      <c r="G126" s="1">
        <f t="shared" si="52"/>
        <v>1.12774090411743</v>
      </c>
      <c r="H126" s="1">
        <f t="shared" si="53"/>
        <v>2.407497846E-2</v>
      </c>
      <c r="I126" s="1">
        <f t="shared" si="54"/>
        <v>6.00359300656539E-2</v>
      </c>
      <c r="J126" s="1">
        <f t="shared" si="55"/>
        <v>-0.76160404710632701</v>
      </c>
      <c r="K126" s="1">
        <f t="shared" si="56"/>
        <v>0.127740904117425</v>
      </c>
      <c r="L126" s="1">
        <f t="shared" si="57"/>
        <v>8.7573077975580699E-2</v>
      </c>
      <c r="M126" s="1">
        <f t="shared" si="58"/>
        <v>4.00800075710896E-2</v>
      </c>
      <c r="N126" s="1">
        <f t="shared" si="59"/>
        <v>3.4628907114058298E-2</v>
      </c>
      <c r="O126" s="1">
        <f t="shared" si="60"/>
        <v>4.9779860909655298E-2</v>
      </c>
      <c r="P126" s="1">
        <f t="shared" si="61"/>
        <v>3.8017939491201899E-2</v>
      </c>
      <c r="Q126" s="2">
        <f t="shared" si="62"/>
        <v>0.17788221631172199</v>
      </c>
      <c r="R126" s="1">
        <f t="shared" si="63"/>
        <v>1.4327414388573101</v>
      </c>
      <c r="S126" s="2">
        <f t="shared" si="64"/>
        <v>0.14296143539380499</v>
      </c>
      <c r="T126" s="1">
        <f t="shared" si="65"/>
        <v>-0.706588066899282</v>
      </c>
      <c r="U126" s="1">
        <f t="shared" si="66"/>
        <v>0.111853641208238</v>
      </c>
      <c r="V126" s="2">
        <f t="shared" si="67"/>
        <v>9.6648539521811502E-2</v>
      </c>
      <c r="W126" s="2">
        <f t="shared" si="68"/>
        <v>6.4195696804000002E-2</v>
      </c>
      <c r="X126" s="1">
        <f t="shared" si="69"/>
        <v>0.10686099768002801</v>
      </c>
      <c r="Y126" s="2">
        <f t="shared" si="70"/>
        <v>0.82333602879487899</v>
      </c>
      <c r="Z126" s="1">
        <f t="shared" si="71"/>
        <v>0.196971778638622</v>
      </c>
      <c r="AA126" s="1">
        <f t="shared" si="72"/>
        <v>2.53281749782803</v>
      </c>
      <c r="AB126" s="1">
        <f t="shared" si="73"/>
        <v>0.18044439218</v>
      </c>
      <c r="AC126" s="2">
        <f t="shared" si="74"/>
        <v>0.83904830121129503</v>
      </c>
      <c r="AD126" s="2">
        <f t="shared" si="75"/>
        <v>-4.0771234071559997E-2</v>
      </c>
      <c r="AE126" s="1">
        <f t="shared" si="76"/>
        <v>-8.7519016592817897E-2</v>
      </c>
      <c r="AF126" s="2">
        <f t="shared" si="77"/>
        <v>-5.9734900277965797E-2</v>
      </c>
      <c r="AG126" s="5">
        <f t="shared" si="78"/>
        <v>-6.33188271732954E-2</v>
      </c>
      <c r="AH126" s="1">
        <f t="shared" si="79"/>
        <v>-17.548700419431299</v>
      </c>
      <c r="AI126" s="1">
        <f t="shared" si="80"/>
        <v>-0.16095169878870499</v>
      </c>
      <c r="AJ126" s="1">
        <f t="shared" si="81"/>
        <v>-0.118685864351787</v>
      </c>
      <c r="AK126" s="2">
        <f t="shared" si="82"/>
        <v>-7.1039200670740696E-2</v>
      </c>
      <c r="AL126" s="2">
        <f t="shared" si="83"/>
        <v>-7.5567947007097097E-2</v>
      </c>
      <c r="AM126" s="1">
        <f t="shared" si="84"/>
        <v>1.4327414388573101</v>
      </c>
      <c r="AN126" s="1">
        <f t="shared" si="85"/>
        <v>0.10496693087556</v>
      </c>
      <c r="AO126" s="1">
        <f t="shared" si="86"/>
        <v>0.26133278409298699</v>
      </c>
      <c r="AP126" s="1">
        <f t="shared" si="87"/>
        <v>1.7075792141988999</v>
      </c>
      <c r="AQ126" s="1">
        <f t="shared" si="88"/>
        <v>6.4846212531560005E-2</v>
      </c>
      <c r="AR126" s="1">
        <f t="shared" si="89"/>
        <v>0.14678370316654199</v>
      </c>
      <c r="AS126" s="1">
        <f t="shared" si="90"/>
        <v>-0.38841979784942898</v>
      </c>
      <c r="AT126" s="1">
        <f t="shared" si="91"/>
        <v>0.288033996426524</v>
      </c>
      <c r="AU126" s="2">
        <f t="shared" si="92"/>
        <v>0.387138284026873</v>
      </c>
      <c r="AV126" s="2">
        <f t="shared" si="93"/>
        <v>0.24152718685250699</v>
      </c>
      <c r="AW126" s="2">
        <f t="shared" si="94"/>
        <v>0.34604600921421802</v>
      </c>
      <c r="AX126" s="2">
        <f t="shared" si="95"/>
        <v>-0.10561744660312</v>
      </c>
      <c r="AY126" s="7">
        <f t="shared" si="96"/>
        <v>2.6664903111194702</v>
      </c>
      <c r="AZ126" s="2">
        <f t="shared" si="97"/>
        <v>-7.7281557355576305E-2</v>
      </c>
      <c r="BA126" s="1">
        <f t="shared" si="98"/>
        <v>3.7804631991978899</v>
      </c>
      <c r="BB126" s="2">
        <f t="shared" si="99"/>
        <v>-3.8249048641742799E-2</v>
      </c>
      <c r="BC126" s="1">
        <f t="shared" si="100"/>
        <v>0.44889715934234198</v>
      </c>
      <c r="BD126" s="1">
        <f t="shared" si="101"/>
        <v>-0.15463167642376299</v>
      </c>
      <c r="BE126" s="2">
        <f t="shared" si="102"/>
        <v>-0.15987066861228</v>
      </c>
      <c r="BF126" s="1">
        <f t="shared" si="103"/>
        <v>-1.4577773093064299</v>
      </c>
    </row>
    <row r="127" spans="1:58" customFormat="1" x14ac:dyDescent="0.15">
      <c r="A127" s="6">
        <v>177</v>
      </c>
      <c r="B127">
        <v>0.121998321874</v>
      </c>
      <c r="C127">
        <v>0.165636923233</v>
      </c>
      <c r="D127" s="4">
        <v>0.11342451786299999</v>
      </c>
      <c r="E127" s="4">
        <v>0.21769300822026</v>
      </c>
      <c r="F127">
        <v>0.246917550973</v>
      </c>
      <c r="G127" s="1">
        <f t="shared" si="52"/>
        <v>1.4907156336492899</v>
      </c>
      <c r="H127" s="1">
        <f t="shared" si="53"/>
        <v>8.128062774E-2</v>
      </c>
      <c r="I127" s="1">
        <f t="shared" si="54"/>
        <v>0.197017928108602</v>
      </c>
      <c r="J127" s="1">
        <f t="shared" si="55"/>
        <v>-0.69651705958319399</v>
      </c>
      <c r="K127" s="1">
        <f t="shared" si="56"/>
        <v>0.490715633649287</v>
      </c>
      <c r="L127" s="1">
        <f t="shared" si="57"/>
        <v>0.31093371871201497</v>
      </c>
      <c r="M127" s="1">
        <f t="shared" si="58"/>
        <v>0.13360401494506</v>
      </c>
      <c r="N127" s="1">
        <f t="shared" si="59"/>
        <v>0.11816913350262299</v>
      </c>
      <c r="O127" s="1">
        <f t="shared" si="60"/>
        <v>0.16467520982899</v>
      </c>
      <c r="P127" s="1">
        <f t="shared" si="61"/>
        <v>0.12654541031859401</v>
      </c>
      <c r="Q127" s="2">
        <f t="shared" si="62"/>
        <v>0.37046197115207102</v>
      </c>
      <c r="R127" s="1">
        <f t="shared" si="63"/>
        <v>2.1769327798354801</v>
      </c>
      <c r="S127" s="2">
        <f t="shared" si="64"/>
        <v>0.29759638453604598</v>
      </c>
      <c r="T127" s="1">
        <f t="shared" si="65"/>
        <v>-0.58575115864898997</v>
      </c>
      <c r="U127" s="1">
        <f t="shared" si="66"/>
        <v>0.232744110648819</v>
      </c>
      <c r="V127" s="2">
        <f t="shared" si="67"/>
        <v>0.20756630945083199</v>
      </c>
      <c r="W127" s="2">
        <f t="shared" si="68"/>
        <v>0.13349303310999999</v>
      </c>
      <c r="X127" s="1">
        <f t="shared" si="69"/>
        <v>0.22238276053012601</v>
      </c>
      <c r="Y127" s="2">
        <f t="shared" si="70"/>
        <v>0.93298551497441295</v>
      </c>
      <c r="Z127" s="1">
        <f t="shared" si="71"/>
        <v>0.47544324859869902</v>
      </c>
      <c r="AA127" s="1">
        <f t="shared" si="72"/>
        <v>2.7304527098923699</v>
      </c>
      <c r="AB127" s="1">
        <f t="shared" si="73"/>
        <v>0.180171034418</v>
      </c>
      <c r="AC127" s="2">
        <f t="shared" si="74"/>
        <v>1.1342465841767899</v>
      </c>
      <c r="AD127" s="2">
        <f t="shared" si="75"/>
        <v>2.9224542752740001E-2</v>
      </c>
      <c r="AE127" s="1">
        <f t="shared" si="76"/>
        <v>6.2901159206292898E-2</v>
      </c>
      <c r="AF127" s="2">
        <f t="shared" si="77"/>
        <v>4.2874906605393497E-2</v>
      </c>
      <c r="AG127" s="5">
        <f t="shared" si="78"/>
        <v>4.5445090468191E-2</v>
      </c>
      <c r="AH127" s="1">
        <f t="shared" si="79"/>
        <v>12.596862803154</v>
      </c>
      <c r="AI127" s="1">
        <f t="shared" si="80"/>
        <v>0.134246584176791</v>
      </c>
      <c r="AJ127" s="1">
        <f t="shared" si="81"/>
        <v>9.1892686130101403E-2</v>
      </c>
      <c r="AK127" s="2">
        <f t="shared" si="82"/>
        <v>5.0952772992280897E-2</v>
      </c>
      <c r="AL127" s="2">
        <f t="shared" si="83"/>
        <v>5.4274570120882798E-2</v>
      </c>
      <c r="AM127" s="1">
        <f t="shared" si="84"/>
        <v>2.1769327798354801</v>
      </c>
      <c r="AN127" s="1">
        <f t="shared" si="85"/>
        <v>0.10426849035726</v>
      </c>
      <c r="AO127" s="1">
        <f t="shared" si="86"/>
        <v>0.31489873577710098</v>
      </c>
      <c r="AP127" s="1">
        <f t="shared" si="87"/>
        <v>1.91927646968886</v>
      </c>
      <c r="AQ127" s="1">
        <f t="shared" si="88"/>
        <v>5.2056084987259998E-2</v>
      </c>
      <c r="AR127" s="1">
        <f t="shared" si="89"/>
        <v>0.13579968772568299</v>
      </c>
      <c r="AS127" s="1">
        <f t="shared" si="90"/>
        <v>0.28028163304759302</v>
      </c>
      <c r="AT127" s="1">
        <f t="shared" si="91"/>
        <v>0.26281251072253198</v>
      </c>
      <c r="AU127" s="2">
        <f t="shared" si="92"/>
        <v>0.34540877082477001</v>
      </c>
      <c r="AV127" s="2">
        <f t="shared" si="93"/>
        <v>0.19622428182150001</v>
      </c>
      <c r="AW127" s="2">
        <f t="shared" si="94"/>
        <v>0.42716707129689901</v>
      </c>
      <c r="AX127" s="2">
        <f t="shared" si="95"/>
        <v>-2.283154223452E-2</v>
      </c>
      <c r="AY127" s="7">
        <f t="shared" si="96"/>
        <v>1.64237207341726</v>
      </c>
      <c r="AZ127" s="2">
        <f t="shared" si="97"/>
        <v>5.57380459844369E-2</v>
      </c>
      <c r="BA127" s="1">
        <f t="shared" si="98"/>
        <v>2.70366939341109</v>
      </c>
      <c r="BB127" s="2">
        <f t="shared" si="99"/>
        <v>1.4709382916655901E-2</v>
      </c>
      <c r="BC127" s="1">
        <f t="shared" si="100"/>
        <v>0.57576193712993295</v>
      </c>
      <c r="BD127" s="1">
        <f t="shared" si="101"/>
        <v>-3.1747818316300602E-3</v>
      </c>
      <c r="BE127" s="2">
        <f t="shared" si="102"/>
        <v>-3.9124151016179998E-2</v>
      </c>
      <c r="BF127" s="1">
        <f t="shared" si="103"/>
        <v>0.31926616937936603</v>
      </c>
    </row>
    <row r="128" spans="1:58" s="2" customFormat="1" x14ac:dyDescent="0.15">
      <c r="A128" s="3">
        <v>197</v>
      </c>
      <c r="B128" s="4">
        <v>2.7084847053700001E-2</v>
      </c>
      <c r="C128" s="4">
        <v>5.0462910025699997E-2</v>
      </c>
      <c r="D128" s="4">
        <v>4.4976364975299998E-2</v>
      </c>
      <c r="E128" s="4">
        <v>0.151776808234</v>
      </c>
      <c r="F128" s="4">
        <v>0.25534873894400001</v>
      </c>
      <c r="G128" s="2">
        <f t="shared" si="52"/>
        <v>5.0601271074925096</v>
      </c>
      <c r="H128" s="2">
        <f t="shared" si="53"/>
        <v>0.20488582891830001</v>
      </c>
      <c r="I128" s="2">
        <f t="shared" si="54"/>
        <v>0.66997391894185199</v>
      </c>
      <c r="J128" s="2">
        <f t="shared" si="55"/>
        <v>-0.24438838941603599</v>
      </c>
      <c r="K128" s="2">
        <f t="shared" si="56"/>
        <v>4.0601271074925096</v>
      </c>
      <c r="L128" s="2">
        <f t="shared" si="57"/>
        <v>1.64929659843486</v>
      </c>
      <c r="M128" s="2">
        <f t="shared" si="58"/>
        <v>0.38139029607029901</v>
      </c>
      <c r="N128" s="2">
        <f t="shared" si="59"/>
        <v>0.35437485003389801</v>
      </c>
      <c r="O128" s="2">
        <f t="shared" si="60"/>
        <v>0.51022245165167102</v>
      </c>
      <c r="P128" s="2">
        <f t="shared" si="61"/>
        <v>0.37049718181930003</v>
      </c>
      <c r="Q128" s="2">
        <f t="shared" si="62"/>
        <v>0.70048214825634103</v>
      </c>
      <c r="R128" s="2">
        <f t="shared" si="63"/>
        <v>5.6773983198560298</v>
      </c>
      <c r="S128" s="2">
        <f t="shared" si="64"/>
        <v>0.53012957956443196</v>
      </c>
      <c r="T128" s="2">
        <f t="shared" si="65"/>
        <v>-0.18956433391347599</v>
      </c>
      <c r="U128" s="2">
        <f t="shared" si="66"/>
        <v>0.39428797048564002</v>
      </c>
      <c r="V128" s="2">
        <f t="shared" si="67"/>
        <v>0.36829968586817702</v>
      </c>
      <c r="W128" s="2">
        <f t="shared" si="68"/>
        <v>0.21037237396870001</v>
      </c>
      <c r="X128" s="2">
        <f t="shared" si="69"/>
        <v>0.38387770507204699</v>
      </c>
      <c r="Y128" s="2">
        <f t="shared" si="70"/>
        <v>1.0956651624727101</v>
      </c>
      <c r="Z128" s="2">
        <f t="shared" si="71"/>
        <v>1.38272917467681</v>
      </c>
      <c r="AA128" s="2">
        <f t="shared" si="72"/>
        <v>3.1204405464359799</v>
      </c>
      <c r="AB128" s="2">
        <f t="shared" si="73"/>
        <v>0.15016255195965</v>
      </c>
      <c r="AC128" s="2">
        <f t="shared" si="74"/>
        <v>1.6823962890978701</v>
      </c>
      <c r="AD128" s="2">
        <f t="shared" si="75"/>
        <v>0.10357193071</v>
      </c>
      <c r="AE128" s="2">
        <f t="shared" si="76"/>
        <v>0.25439801414554097</v>
      </c>
      <c r="AF128" s="2">
        <f t="shared" si="77"/>
        <v>0.162322190392576</v>
      </c>
      <c r="AG128" s="5">
        <f t="shared" si="78"/>
        <v>0.17126394086056401</v>
      </c>
      <c r="AH128" s="2">
        <f t="shared" si="79"/>
        <v>52.021913968462997</v>
      </c>
      <c r="AI128" s="2">
        <f t="shared" si="80"/>
        <v>0.68239628909786598</v>
      </c>
      <c r="AJ128" s="2">
        <f t="shared" si="81"/>
        <v>0.41665364609803102</v>
      </c>
      <c r="AK128" s="2">
        <f t="shared" si="82"/>
        <v>0.19411848423121</v>
      </c>
      <c r="AL128" s="2">
        <f t="shared" si="83"/>
        <v>0.21184628381040199</v>
      </c>
      <c r="AM128" s="2">
        <f t="shared" si="84"/>
        <v>5.6773983198560298</v>
      </c>
      <c r="AN128" s="2">
        <f t="shared" si="85"/>
        <v>0.1068004432587</v>
      </c>
      <c r="AO128" s="2">
        <f t="shared" si="86"/>
        <v>0.54281433695144998</v>
      </c>
      <c r="AP128" s="2">
        <f t="shared" si="87"/>
        <v>3.3745903724623498</v>
      </c>
      <c r="AQ128" s="2">
        <f t="shared" si="88"/>
        <v>0.1013138982083</v>
      </c>
      <c r="AR128" s="2">
        <f t="shared" si="89"/>
        <v>0.50095945089381899</v>
      </c>
      <c r="AS128" s="2">
        <f t="shared" si="90"/>
        <v>0.96977060721667896</v>
      </c>
      <c r="AT128" s="2">
        <f t="shared" si="91"/>
        <v>0.110280120119455</v>
      </c>
      <c r="AU128" s="2">
        <f t="shared" si="92"/>
        <v>0.33168845464656299</v>
      </c>
      <c r="AV128" s="2">
        <f t="shared" si="93"/>
        <v>9.9482801921990702E-2</v>
      </c>
      <c r="AW128" s="2">
        <f t="shared" si="94"/>
        <v>0.56480349248648098</v>
      </c>
      <c r="AX128" s="2">
        <f t="shared" si="95"/>
        <v>2.2580325017000102E-3</v>
      </c>
      <c r="AY128" s="5">
        <f t="shared" si="96"/>
        <v>1.0267785482254499</v>
      </c>
      <c r="AZ128" s="2">
        <f t="shared" si="97"/>
        <v>0.14485278695201001</v>
      </c>
      <c r="BA128" s="2">
        <f t="shared" si="98"/>
        <v>0.66785739060064298</v>
      </c>
      <c r="BB128" s="2">
        <f t="shared" si="99"/>
        <v>0.105309200229028</v>
      </c>
      <c r="BC128" s="2">
        <f t="shared" si="100"/>
        <v>0.63907549180633905</v>
      </c>
      <c r="BD128" s="2">
        <f t="shared" si="101"/>
        <v>9.83579713538104E-2</v>
      </c>
      <c r="BE128" s="2">
        <f t="shared" si="102"/>
        <v>-8.9061009825479806E-3</v>
      </c>
      <c r="BF128" s="2">
        <f t="shared" si="103"/>
        <v>0.37971330965738798</v>
      </c>
    </row>
    <row r="129" spans="1:58" s="2" customFormat="1" x14ac:dyDescent="0.15">
      <c r="A129" s="3">
        <v>209</v>
      </c>
      <c r="B129" s="4">
        <v>2.5328332433700002E-2</v>
      </c>
      <c r="C129" s="4">
        <v>4.4612825349399997E-2</v>
      </c>
      <c r="D129" s="4">
        <v>3.8660124435700001E-2</v>
      </c>
      <c r="E129" s="4">
        <v>0.14450665448200001</v>
      </c>
      <c r="F129" s="4">
        <v>0.25810357622699998</v>
      </c>
      <c r="G129" s="2">
        <f t="shared" si="52"/>
        <v>5.7854120245820999</v>
      </c>
      <c r="H129" s="2">
        <f t="shared" si="53"/>
        <v>0.2134907508776</v>
      </c>
      <c r="I129" s="2">
        <f t="shared" si="54"/>
        <v>0.70525002862693897</v>
      </c>
      <c r="J129" s="2">
        <f t="shared" si="55"/>
        <v>-0.18046371998081101</v>
      </c>
      <c r="K129" s="2">
        <f t="shared" si="56"/>
        <v>4.7854120245820999</v>
      </c>
      <c r="L129" s="2">
        <f t="shared" si="57"/>
        <v>1.8370933474726401</v>
      </c>
      <c r="M129" s="2">
        <f t="shared" si="58"/>
        <v>0.39894055445672999</v>
      </c>
      <c r="N129" s="2">
        <f t="shared" si="59"/>
        <v>0.37373457314146702</v>
      </c>
      <c r="O129" s="2">
        <f t="shared" si="60"/>
        <v>0.53520746222592297</v>
      </c>
      <c r="P129" s="2">
        <f t="shared" si="61"/>
        <v>0.38802623386571899</v>
      </c>
      <c r="Q129" s="2">
        <f t="shared" si="62"/>
        <v>0.73945516685923196</v>
      </c>
      <c r="R129" s="2">
        <f t="shared" si="63"/>
        <v>6.67622207621916</v>
      </c>
      <c r="S129" s="2">
        <f t="shared" si="64"/>
        <v>0.55729998620421295</v>
      </c>
      <c r="T129" s="2">
        <f t="shared" si="65"/>
        <v>-0.110403753602158</v>
      </c>
      <c r="U129" s="2">
        <f t="shared" si="66"/>
        <v>0.41312772835053901</v>
      </c>
      <c r="V129" s="2">
        <f t="shared" si="67"/>
        <v>0.389546757397709</v>
      </c>
      <c r="W129" s="2">
        <f t="shared" si="68"/>
        <v>0.21944345179130001</v>
      </c>
      <c r="X129" s="2">
        <f t="shared" si="69"/>
        <v>0.40282576166439699</v>
      </c>
      <c r="Y129" s="2">
        <f t="shared" si="70"/>
        <v>1.1133082083858099</v>
      </c>
      <c r="Z129" s="2">
        <f t="shared" si="71"/>
        <v>1.5838386320006801</v>
      </c>
      <c r="AA129" s="2">
        <f t="shared" si="72"/>
        <v>3.16497138593963</v>
      </c>
      <c r="AB129" s="2">
        <f t="shared" si="73"/>
        <v>0.14838185033135001</v>
      </c>
      <c r="AC129" s="2">
        <f t="shared" si="74"/>
        <v>1.7861016653676001</v>
      </c>
      <c r="AD129" s="2">
        <f t="shared" si="75"/>
        <v>0.113596921745</v>
      </c>
      <c r="AE129" s="2">
        <f t="shared" si="76"/>
        <v>0.282151105661063</v>
      </c>
      <c r="AF129" s="2">
        <f t="shared" si="77"/>
        <v>0.179029319023575</v>
      </c>
      <c r="AG129" s="5">
        <f t="shared" si="78"/>
        <v>0.188780690513174</v>
      </c>
      <c r="AH129" s="2">
        <f t="shared" si="79"/>
        <v>58.003540433231997</v>
      </c>
      <c r="AI129" s="2">
        <f t="shared" si="80"/>
        <v>0.78610166536759596</v>
      </c>
      <c r="AJ129" s="2">
        <f t="shared" si="81"/>
        <v>0.47095589394917903</v>
      </c>
      <c r="AK129" s="2">
        <f t="shared" si="82"/>
        <v>0.21385936944137299</v>
      </c>
      <c r="AL129" s="2">
        <f t="shared" si="83"/>
        <v>0.23421619805622901</v>
      </c>
      <c r="AM129" s="2">
        <f t="shared" si="84"/>
        <v>6.67622207621916</v>
      </c>
      <c r="AN129" s="2">
        <f t="shared" si="85"/>
        <v>0.1058465300463</v>
      </c>
      <c r="AO129" s="2">
        <f t="shared" si="86"/>
        <v>0.57786969160962698</v>
      </c>
      <c r="AP129" s="2">
        <f t="shared" si="87"/>
        <v>3.7378734960448798</v>
      </c>
      <c r="AQ129" s="2">
        <f t="shared" si="88"/>
        <v>9.9893829132600004E-2</v>
      </c>
      <c r="AR129" s="2">
        <f t="shared" si="89"/>
        <v>0.52820486404497002</v>
      </c>
      <c r="AS129" s="2">
        <f t="shared" si="90"/>
        <v>1.07322291713587</v>
      </c>
      <c r="AT129" s="2">
        <f t="shared" si="91"/>
        <v>9.97551998830183E-2</v>
      </c>
      <c r="AU129" s="2">
        <f t="shared" si="92"/>
        <v>0.32311986719917601</v>
      </c>
      <c r="AV129" s="2">
        <f t="shared" si="93"/>
        <v>8.7610971335300103E-2</v>
      </c>
      <c r="AW129" s="2">
        <f t="shared" si="94"/>
        <v>0.584910300947734</v>
      </c>
      <c r="AX129" s="2">
        <f t="shared" si="95"/>
        <v>1.3703092612400001E-2</v>
      </c>
      <c r="AY129" s="5">
        <f t="shared" si="96"/>
        <v>1.0278827110272</v>
      </c>
      <c r="AZ129" s="2">
        <f t="shared" si="97"/>
        <v>0.15860642290815499</v>
      </c>
      <c r="BA129" s="2">
        <f t="shared" si="98"/>
        <v>0.64720023058313403</v>
      </c>
      <c r="BB129" s="2">
        <f t="shared" si="99"/>
        <v>0.12663241397276501</v>
      </c>
      <c r="BC129" s="2">
        <f t="shared" si="100"/>
        <v>0.65043681042811796</v>
      </c>
      <c r="BD129" s="2">
        <f t="shared" si="101"/>
        <v>0.105621776415927</v>
      </c>
      <c r="BE129" s="2">
        <f t="shared" si="102"/>
        <v>7.7451938659439399E-3</v>
      </c>
      <c r="BF129" s="2">
        <f t="shared" si="103"/>
        <v>0.40007244836329398</v>
      </c>
    </row>
    <row r="130" spans="1:58" s="2" customFormat="1" x14ac:dyDescent="0.15">
      <c r="A130" s="3">
        <v>197</v>
      </c>
      <c r="B130" s="4">
        <v>2.95700366415E-2</v>
      </c>
      <c r="C130" s="4">
        <v>5.1690974904099997E-2</v>
      </c>
      <c r="D130" s="4">
        <v>5.2551608449400003E-2</v>
      </c>
      <c r="E130" s="4">
        <v>0.136802114419</v>
      </c>
      <c r="F130" s="4">
        <v>0.21012408853199999</v>
      </c>
      <c r="G130" s="2">
        <f t="shared" si="52"/>
        <v>4.0650053306565397</v>
      </c>
      <c r="H130" s="2">
        <f t="shared" si="53"/>
        <v>0.1584331136279</v>
      </c>
      <c r="I130" s="2">
        <f t="shared" si="54"/>
        <v>0.60513368309905502</v>
      </c>
      <c r="J130" s="2">
        <f t="shared" si="55"/>
        <v>-0.34426612454730399</v>
      </c>
      <c r="K130" s="2">
        <f t="shared" si="56"/>
        <v>3.0650053306565401</v>
      </c>
      <c r="L130" s="2">
        <f t="shared" si="57"/>
        <v>1.3618876475166499</v>
      </c>
      <c r="M130" s="2">
        <f t="shared" si="58"/>
        <v>0.31195191831722502</v>
      </c>
      <c r="N130" s="2">
        <f t="shared" si="59"/>
        <v>0.27721532925632603</v>
      </c>
      <c r="O130" s="2">
        <f t="shared" si="60"/>
        <v>0.43569428344088701</v>
      </c>
      <c r="P130" s="2">
        <f t="shared" si="61"/>
        <v>0.30963399938395397</v>
      </c>
      <c r="Q130" s="2">
        <f t="shared" si="62"/>
        <v>0.599874605429362</v>
      </c>
      <c r="R130" s="2">
        <f t="shared" si="63"/>
        <v>3.9984330590817301</v>
      </c>
      <c r="S130" s="2">
        <f t="shared" si="64"/>
        <v>0.43244520137115799</v>
      </c>
      <c r="T130" s="2">
        <f t="shared" si="65"/>
        <v>-0.35152306136109401</v>
      </c>
      <c r="U130" s="2">
        <f t="shared" si="66"/>
        <v>0.30990723981291901</v>
      </c>
      <c r="V130" s="2">
        <f t="shared" si="67"/>
        <v>0.27523184791577099</v>
      </c>
      <c r="W130" s="2">
        <f t="shared" si="68"/>
        <v>0.1575724800826</v>
      </c>
      <c r="X130" s="2">
        <f t="shared" si="69"/>
        <v>0.30744711629169003</v>
      </c>
      <c r="Y130" s="2">
        <f t="shared" si="70"/>
        <v>1.04874906695041</v>
      </c>
      <c r="Z130" s="2">
        <f t="shared" si="71"/>
        <v>0.99960822639879499</v>
      </c>
      <c r="AA130" s="2">
        <f t="shared" si="72"/>
        <v>3.01266689189291</v>
      </c>
      <c r="AB130" s="2">
        <f t="shared" si="73"/>
        <v>0.13133784849069999</v>
      </c>
      <c r="AC130" s="2">
        <f t="shared" si="74"/>
        <v>1.53597105881294</v>
      </c>
      <c r="AD130" s="2">
        <f t="shared" si="75"/>
        <v>7.3321974112999996E-2</v>
      </c>
      <c r="AE130" s="2">
        <f t="shared" si="76"/>
        <v>0.21134746666384299</v>
      </c>
      <c r="AF130" s="2">
        <f t="shared" si="77"/>
        <v>0.124484591333925</v>
      </c>
      <c r="AG130" s="5">
        <f t="shared" si="78"/>
        <v>0.12986132768862199</v>
      </c>
      <c r="AH130" s="2">
        <f t="shared" si="79"/>
        <v>42.9162792629308</v>
      </c>
      <c r="AI130" s="2">
        <f t="shared" si="80"/>
        <v>0.53597105881293705</v>
      </c>
      <c r="AJ130" s="2">
        <f t="shared" si="81"/>
        <v>0.33656518757181603</v>
      </c>
      <c r="AK130" s="2">
        <f t="shared" si="82"/>
        <v>0.144206720634737</v>
      </c>
      <c r="AL130" s="2">
        <f t="shared" si="83"/>
        <v>0.167782784705058</v>
      </c>
      <c r="AM130" s="2">
        <f t="shared" si="84"/>
        <v>3.9984330590817301</v>
      </c>
      <c r="AN130" s="2">
        <f t="shared" si="85"/>
        <v>8.4250505969600001E-2</v>
      </c>
      <c r="AO130" s="2">
        <f t="shared" si="86"/>
        <v>0.444937150922318</v>
      </c>
      <c r="AP130" s="2">
        <f t="shared" si="87"/>
        <v>2.6031955720389002</v>
      </c>
      <c r="AQ130" s="2">
        <f t="shared" si="88"/>
        <v>8.51111395149E-2</v>
      </c>
      <c r="AR130" s="2">
        <f t="shared" si="89"/>
        <v>0.45153453540680799</v>
      </c>
      <c r="AS130" s="2">
        <f t="shared" si="90"/>
        <v>0.87028526736037204</v>
      </c>
      <c r="AT130" s="2">
        <f t="shared" si="91"/>
        <v>0.129675733449927</v>
      </c>
      <c r="AU130" s="2">
        <f t="shared" si="92"/>
        <v>0.34319171881932398</v>
      </c>
      <c r="AV130" s="2">
        <f t="shared" si="93"/>
        <v>0.13155075688728801</v>
      </c>
      <c r="AW130" s="2">
        <f t="shared" si="94"/>
        <v>0.52599689528535798</v>
      </c>
      <c r="AX130" s="2">
        <f t="shared" si="95"/>
        <v>-1.17891654019E-2</v>
      </c>
      <c r="AY130" s="5">
        <f t="shared" si="96"/>
        <v>0.99456784301215395</v>
      </c>
      <c r="AZ130" s="2">
        <f t="shared" si="97"/>
        <v>0.11154993908749899</v>
      </c>
      <c r="BA130" s="2">
        <f t="shared" si="98"/>
        <v>0.72555160567714705</v>
      </c>
      <c r="BB130" s="2">
        <f t="shared" si="99"/>
        <v>6.3950694754584203E-2</v>
      </c>
      <c r="BC130" s="2">
        <f t="shared" si="100"/>
        <v>0.51707516876078896</v>
      </c>
      <c r="BD130" s="2">
        <f t="shared" si="101"/>
        <v>7.4749860895649001E-2</v>
      </c>
      <c r="BE130" s="2">
        <f t="shared" si="102"/>
        <v>-2.7189734920524102E-2</v>
      </c>
      <c r="BF130" s="2">
        <f t="shared" si="103"/>
        <v>0.349257482382198</v>
      </c>
    </row>
    <row r="131" spans="1:58" s="2" customFormat="1" x14ac:dyDescent="0.15">
      <c r="A131" s="3">
        <v>177</v>
      </c>
      <c r="B131" s="4">
        <v>2.4055789190499999E-2</v>
      </c>
      <c r="C131" s="4">
        <v>5.0120830697399997E-2</v>
      </c>
      <c r="D131" s="4">
        <v>3.7943377313699997E-2</v>
      </c>
      <c r="E131" s="4">
        <v>0.15544331435700001</v>
      </c>
      <c r="F131" s="4">
        <v>0.245284154985</v>
      </c>
      <c r="G131" s="2">
        <f t="shared" ref="G131:G190" si="104">F131/C131</f>
        <v>4.8938565377314101</v>
      </c>
      <c r="H131" s="2">
        <f t="shared" ref="H131:H190" si="105">F131-C131</f>
        <v>0.1951633242876</v>
      </c>
      <c r="I131" s="2">
        <f t="shared" ref="I131:I190" si="106">(F131-C131)/(F131+C131)</f>
        <v>0.66066361011735497</v>
      </c>
      <c r="J131" s="2">
        <f t="shared" ref="J131:J190" si="107">(0.12*F131-C131)/(0.12*F131+C131)</f>
        <v>-0.260030802394845</v>
      </c>
      <c r="K131" s="2">
        <f t="shared" ref="K131:K190" si="108">F131/C131-1</f>
        <v>3.8938565377314101</v>
      </c>
      <c r="L131" s="2">
        <f t="shared" ref="L131:L190" si="109">(F131/C131-1)/POWER(F131/C131+1,0.5)</f>
        <v>1.6039106326403301</v>
      </c>
      <c r="M131" s="2">
        <f t="shared" ref="M131:M190" si="110">1.5*(F131-C131)/(F131+C131+0.5)</f>
        <v>0.36804519923928602</v>
      </c>
      <c r="N131" s="2">
        <f t="shared" ref="N131:N190" si="111">0.5*(2*F131+1-POWER(POWER(2*F131+1,2)-8*(F131-C131),0.5))</f>
        <v>0.33893230855569501</v>
      </c>
      <c r="O131" s="2">
        <f t="shared" ref="O131:O190" si="112">1.16*(F131-C131)/(F131+C131+0.16)</f>
        <v>0.49711677142573102</v>
      </c>
      <c r="P131" s="2">
        <f t="shared" ref="P131:P190" si="113">(F131-C131)/POWER(F131+C131,0.5)</f>
        <v>0.35907841258748802</v>
      </c>
      <c r="Q131" s="2">
        <f t="shared" ref="Q131:Q190" si="114">(F131-D131)/(F131+D131)</f>
        <v>0.73206434412821297</v>
      </c>
      <c r="R131" s="2">
        <f t="shared" ref="R131:R190" si="115">F131/D131</f>
        <v>6.4644787140873898</v>
      </c>
      <c r="S131" s="2">
        <f t="shared" ref="S131:S190" si="116">1.16*(F131-D131)/(F131+D131+0.16)</f>
        <v>0.54264522073195498</v>
      </c>
      <c r="T131" s="2">
        <f t="shared" ref="T131:T190" si="117">(0.12*F131-D131)/(0.12*F131+D131)</f>
        <v>-0.12629263118473599</v>
      </c>
      <c r="U131" s="2">
        <f t="shared" ref="U131:U190" si="118">1.5*(F131-D131)/(F131+D131+0.5)</f>
        <v>0.39708916461881899</v>
      </c>
      <c r="V131" s="2">
        <f t="shared" ref="V131:V190" si="119">(2*F131+1-POWER(POWER(2*F131+1,2)-8*(F131-D131),0.5))/2</f>
        <v>0.37009498092862397</v>
      </c>
      <c r="W131" s="2">
        <f t="shared" ref="W131:W190" si="120">F131-D131</f>
        <v>0.20734077767129999</v>
      </c>
      <c r="X131" s="2">
        <f t="shared" ref="X131:X190" si="121">(F131-D131)/POWER(F131+D131,0.5)</f>
        <v>0.38959824231761297</v>
      </c>
      <c r="Y131" s="2">
        <f t="shared" ref="Y131:Y190" si="122">POWER((F131-D131)/(F131+D131)+0.5,0.5)</f>
        <v>1.1099839386802901</v>
      </c>
      <c r="Z131" s="2">
        <f t="shared" ref="Z131:Z190" si="123">(F131/D131-1)/(POWER(F131/D131,0.5)+1)</f>
        <v>1.5425339160151601</v>
      </c>
      <c r="AA131" s="2">
        <f t="shared" ref="AA131:AA190" si="124">((1+0.45)*(POWER(F131,2)+1)/(D131+0.45))</f>
        <v>3.1504439463012299</v>
      </c>
      <c r="AB131" s="2">
        <f t="shared" ref="AB131:AB190" si="125">(D131+F131)/2</f>
        <v>0.14161376614935001</v>
      </c>
      <c r="AC131" s="2">
        <f t="shared" ref="AC131:AC190" si="126">F131/E131</f>
        <v>1.5779652923616001</v>
      </c>
      <c r="AD131" s="2">
        <f t="shared" ref="AD131:AD190" si="127">F131-E131</f>
        <v>8.9840840628000004E-2</v>
      </c>
      <c r="AE131" s="2">
        <f t="shared" ref="AE131:AE190" si="128">(F131-E131)/(F131+E131)</f>
        <v>0.22419436525157599</v>
      </c>
      <c r="AF131" s="2">
        <f t="shared" ref="AF131:AF190" si="129">(F131-E131)/POWER(F131+E131,0.5)</f>
        <v>0.14192184552866599</v>
      </c>
      <c r="AG131" s="5">
        <f t="shared" ref="AG131:AG190" si="130">1.5*(F131-E131)/(F131+E131+0.5)</f>
        <v>0.14961380165350799</v>
      </c>
      <c r="AH131" s="2">
        <f t="shared" ref="AH131:AH190" si="131">100*(LN(F131)-LN(E131))</f>
        <v>45.613622748065701</v>
      </c>
      <c r="AI131" s="2">
        <f t="shared" ref="AI131:AI190" si="132">F131/E131-1</f>
        <v>0.57796529236160299</v>
      </c>
      <c r="AJ131" s="2">
        <f t="shared" ref="AJ131:AJ190" si="133">(F131/E131-1)/POWER(F131/E131+1,0.5)</f>
        <v>0.35996744555369298</v>
      </c>
      <c r="AK131" s="2">
        <f t="shared" ref="AK131:AK190" si="134">1.5*(F131-E131)/(F131+D131+0.5)</f>
        <v>0.17205889142646499</v>
      </c>
      <c r="AL131" s="2">
        <f t="shared" ref="AL131:AL190" si="135">1.16*(F131-E131)/(F131+E131+0.16)</f>
        <v>0.18585744559790199</v>
      </c>
      <c r="AM131" s="2">
        <f t="shared" ref="AM131:AM190" si="136">F131/D131</f>
        <v>6.4644787140873898</v>
      </c>
      <c r="AN131" s="2">
        <f t="shared" ref="AN131:AN190" si="137">E131-D131</f>
        <v>0.1174999370433</v>
      </c>
      <c r="AO131" s="2">
        <f t="shared" ref="AO131:AO190" si="138">(E131-D131)/(E131+D131)</f>
        <v>0.60759060526967201</v>
      </c>
      <c r="AP131" s="2">
        <f t="shared" ref="AP131:AP190" si="139">E131/D131</f>
        <v>4.0967179350393499</v>
      </c>
      <c r="AQ131" s="2">
        <f t="shared" ref="AQ131:AQ190" si="140">E131-C131</f>
        <v>0.10532248365959999</v>
      </c>
      <c r="AR131" s="2">
        <f t="shared" ref="AR131:AR190" si="141">(E131-C131)/(E131+C131)</f>
        <v>0.51235824044960598</v>
      </c>
      <c r="AS131" s="2">
        <f t="shared" ref="AS131:AS190" si="142">(F131-E131)/(E131-D131)</f>
        <v>0.76460330863745596</v>
      </c>
      <c r="AT131" s="2">
        <f t="shared" ref="AT131:AT190" si="143">C131/(F131+E131+C131)</f>
        <v>0.111170055854752</v>
      </c>
      <c r="AU131" s="2">
        <f t="shared" ref="AU131:AU190" si="144">E131/(F131+E131+C131)</f>
        <v>0.344779639500505</v>
      </c>
      <c r="AV131" s="2">
        <f t="shared" ref="AV131:AV190" si="145">D131/(F131+E131+D131)</f>
        <v>8.6496236535820295E-2</v>
      </c>
      <c r="AW131" s="2">
        <f t="shared" ref="AW131:AW190" si="146">F131/(F131+E131+D131)</f>
        <v>0.55915307993447905</v>
      </c>
      <c r="AX131" s="2">
        <f t="shared" ref="AX131:AX190" si="147">F131-2*E131+C131</f>
        <v>-1.54816430316E-2</v>
      </c>
      <c r="AY131" s="5">
        <f t="shared" ref="AY131:AY190" si="148">(F131-D131)/(F131-C131)</f>
        <v>1.0623962182861499</v>
      </c>
      <c r="AZ131" s="2">
        <f t="shared" ref="AZ131:AZ190" si="149">2.5*(F131-E131)/(F131+6*E131-7.5*C131+1)</f>
        <v>0.124637840677861</v>
      </c>
      <c r="BA131" s="2">
        <f t="shared" ref="BA131:BA190" si="150">(F131-(E131-2*C131))/(F131+(E131-2*C131))</f>
        <v>0.63258395902744402</v>
      </c>
      <c r="BB131" s="2">
        <f t="shared" ref="BB131:BB190" si="151">(F131-E131-0.2*(F131-C131))*F131/E131</f>
        <v>8.0173537934025096E-2</v>
      </c>
      <c r="BC131" s="2">
        <f t="shared" ref="BC131:BC190" si="152">1.5*(2.5*F131-E131)-1.3*(F131-E131)/POWER(POWER((2*F131+1),2)-(6*F131-5*POWER(E131,0.5))-0.5,0.5)</f>
        <v>0.608288992875053</v>
      </c>
      <c r="BD131" s="2">
        <f t="shared" ref="BD131:BD190" si="153">3*(F131-E131-0.2*(F131-D131)*F131/E131)</f>
        <v>7.3216591370054998E-2</v>
      </c>
      <c r="BE131" s="2">
        <f t="shared" ref="BE131:BE190" si="154">1.2*(1.2*(F131-C131)-2.5*(E131-C131))</f>
        <v>-3.4932264004656099E-2</v>
      </c>
      <c r="BF131" s="2">
        <f t="shared" ref="BF131:BF190" si="155">(F131-E131)/(F131+E131)/((F131-C131)/(F131+C131))</f>
        <v>0.33934722878372497</v>
      </c>
    </row>
    <row r="132" spans="1:58" s="2" customFormat="1" x14ac:dyDescent="0.15">
      <c r="A132" s="3">
        <v>178.5</v>
      </c>
      <c r="B132" s="4">
        <v>2.3858001685600001E-2</v>
      </c>
      <c r="C132" s="4">
        <v>4.8009627907200002E-2</v>
      </c>
      <c r="D132" s="4">
        <v>3.6141502486699999E-2</v>
      </c>
      <c r="E132" s="4">
        <v>0.154498692085</v>
      </c>
      <c r="F132" s="4">
        <v>0.25120862651800002</v>
      </c>
      <c r="G132" s="2">
        <f t="shared" si="104"/>
        <v>5.2324635176005199</v>
      </c>
      <c r="H132" s="2">
        <f t="shared" si="105"/>
        <v>0.20319899861080001</v>
      </c>
      <c r="I132" s="2">
        <f t="shared" si="106"/>
        <v>0.679099605741456</v>
      </c>
      <c r="J132" s="2">
        <f t="shared" si="107"/>
        <v>-0.22857999790254499</v>
      </c>
      <c r="K132" s="2">
        <f t="shared" si="108"/>
        <v>4.2324635176005199</v>
      </c>
      <c r="L132" s="2">
        <f t="shared" si="109"/>
        <v>1.6953655376105801</v>
      </c>
      <c r="M132" s="2">
        <f t="shared" si="110"/>
        <v>0.38137079105558203</v>
      </c>
      <c r="N132" s="2">
        <f t="shared" si="111"/>
        <v>0.35382165726326997</v>
      </c>
      <c r="O132" s="2">
        <f t="shared" si="112"/>
        <v>0.51328717035337701</v>
      </c>
      <c r="P132" s="2">
        <f t="shared" si="113"/>
        <v>0.37147322897303497</v>
      </c>
      <c r="Q132" s="2">
        <f t="shared" si="114"/>
        <v>0.74844972151650702</v>
      </c>
      <c r="R132" s="2">
        <f t="shared" si="115"/>
        <v>6.9506968231451998</v>
      </c>
      <c r="S132" s="2">
        <f t="shared" si="116"/>
        <v>0.55767920405291105</v>
      </c>
      <c r="T132" s="2">
        <f t="shared" si="117"/>
        <v>-9.0462822700076106E-2</v>
      </c>
      <c r="U132" s="2">
        <f t="shared" si="118"/>
        <v>0.40972964144268798</v>
      </c>
      <c r="V132" s="2">
        <f t="shared" si="119"/>
        <v>0.38490253526034701</v>
      </c>
      <c r="W132" s="2">
        <f t="shared" si="120"/>
        <v>0.21506712403129999</v>
      </c>
      <c r="X132" s="2">
        <f t="shared" si="121"/>
        <v>0.40120684077989299</v>
      </c>
      <c r="Y132" s="2">
        <f t="shared" si="122"/>
        <v>1.1173404680385099</v>
      </c>
      <c r="Z132" s="2">
        <f t="shared" si="123"/>
        <v>1.6364174220227701</v>
      </c>
      <c r="AA132" s="2">
        <f t="shared" si="124"/>
        <v>3.1708944092793399</v>
      </c>
      <c r="AB132" s="2">
        <f t="shared" si="125"/>
        <v>0.14367506450234999</v>
      </c>
      <c r="AC132" s="2">
        <f t="shared" si="126"/>
        <v>1.6259595672162299</v>
      </c>
      <c r="AD132" s="2">
        <f t="shared" si="127"/>
        <v>9.6709934432999994E-2</v>
      </c>
      <c r="AE132" s="2">
        <f t="shared" si="128"/>
        <v>0.238373650162408</v>
      </c>
      <c r="AF132" s="2">
        <f t="shared" si="129"/>
        <v>0.15183247372601599</v>
      </c>
      <c r="AG132" s="5">
        <f t="shared" si="130"/>
        <v>0.160167527268361</v>
      </c>
      <c r="AH132" s="2">
        <f t="shared" si="131"/>
        <v>48.609814440576201</v>
      </c>
      <c r="AI132" s="2">
        <f t="shared" si="132"/>
        <v>0.62595956721622903</v>
      </c>
      <c r="AJ132" s="2">
        <f t="shared" si="133"/>
        <v>0.38628003687922302</v>
      </c>
      <c r="AK132" s="2">
        <f t="shared" si="134"/>
        <v>0.18424446292131599</v>
      </c>
      <c r="AL132" s="2">
        <f t="shared" si="135"/>
        <v>0.19830665125442301</v>
      </c>
      <c r="AM132" s="2">
        <f t="shared" si="136"/>
        <v>6.9506968231451998</v>
      </c>
      <c r="AN132" s="2">
        <f t="shared" si="137"/>
        <v>0.11835718959829999</v>
      </c>
      <c r="AO132" s="2">
        <f t="shared" si="138"/>
        <v>0.62084068820956695</v>
      </c>
      <c r="AP132" s="2">
        <f t="shared" si="139"/>
        <v>4.2748275930657602</v>
      </c>
      <c r="AQ132" s="2">
        <f t="shared" si="140"/>
        <v>0.10648906417780001</v>
      </c>
      <c r="AR132" s="2">
        <f t="shared" si="141"/>
        <v>0.52585031657909997</v>
      </c>
      <c r="AS132" s="2">
        <f t="shared" si="142"/>
        <v>0.81710232188876797</v>
      </c>
      <c r="AT132" s="2">
        <f t="shared" si="143"/>
        <v>0.10581405053628699</v>
      </c>
      <c r="AU132" s="2">
        <f t="shared" si="144"/>
        <v>0.34051779038305502</v>
      </c>
      <c r="AV132" s="2">
        <f t="shared" si="145"/>
        <v>8.1796082192924696E-2</v>
      </c>
      <c r="AW132" s="2">
        <f t="shared" si="146"/>
        <v>0.56853976864408595</v>
      </c>
      <c r="AX132" s="2">
        <f t="shared" si="147"/>
        <v>-9.7791297447999796E-3</v>
      </c>
      <c r="AY132" s="5">
        <f t="shared" si="148"/>
        <v>1.05840641687035</v>
      </c>
      <c r="AZ132" s="2">
        <f t="shared" si="149"/>
        <v>0.132980054385924</v>
      </c>
      <c r="BA132" s="2">
        <f t="shared" si="150"/>
        <v>0.62233328760547402</v>
      </c>
      <c r="BB132" s="2">
        <f t="shared" si="151"/>
        <v>9.1167771968193104E-2</v>
      </c>
      <c r="BC132" s="2">
        <f t="shared" si="152"/>
        <v>0.625815570863965</v>
      </c>
      <c r="BD132" s="2">
        <f t="shared" si="153"/>
        <v>8.0315534551577097E-2</v>
      </c>
      <c r="BE132" s="2">
        <f t="shared" si="154"/>
        <v>-2.6860634533847998E-2</v>
      </c>
      <c r="BF132" s="2">
        <f t="shared" si="155"/>
        <v>0.35101426675420599</v>
      </c>
    </row>
    <row r="133" spans="1:58" s="2" customFormat="1" x14ac:dyDescent="0.15">
      <c r="A133" s="3">
        <v>189.5</v>
      </c>
      <c r="B133" s="4">
        <v>2.32142440654E-2</v>
      </c>
      <c r="C133" s="4">
        <v>4.7157764240899999E-2</v>
      </c>
      <c r="D133" s="4">
        <v>3.4196999187799997E-2</v>
      </c>
      <c r="E133" s="4">
        <v>0.153598768986</v>
      </c>
      <c r="F133" s="4">
        <v>0.253298689154</v>
      </c>
      <c r="G133" s="2">
        <f t="shared" si="104"/>
        <v>5.37130403087078</v>
      </c>
      <c r="H133" s="2">
        <f t="shared" si="105"/>
        <v>0.20614092491309999</v>
      </c>
      <c r="I133" s="2">
        <f t="shared" si="106"/>
        <v>0.68609251884552502</v>
      </c>
      <c r="J133" s="2">
        <f t="shared" si="107"/>
        <v>-0.21613335863955399</v>
      </c>
      <c r="K133" s="2">
        <f t="shared" si="108"/>
        <v>4.37130403087078</v>
      </c>
      <c r="L133" s="2">
        <f t="shared" si="109"/>
        <v>1.7317964641318899</v>
      </c>
      <c r="M133" s="2">
        <f t="shared" si="110"/>
        <v>0.38629382780065202</v>
      </c>
      <c r="N133" s="2">
        <f t="shared" si="111"/>
        <v>0.35937348653942403</v>
      </c>
      <c r="O133" s="2">
        <f t="shared" si="112"/>
        <v>0.51931832236504005</v>
      </c>
      <c r="P133" s="2">
        <f t="shared" si="113"/>
        <v>0.37607412355913999</v>
      </c>
      <c r="Q133" s="2">
        <f t="shared" si="114"/>
        <v>0.76210426399756204</v>
      </c>
      <c r="R133" s="2">
        <f t="shared" si="115"/>
        <v>7.40704433634534</v>
      </c>
      <c r="S133" s="2">
        <f t="shared" si="116"/>
        <v>0.56795622166232895</v>
      </c>
      <c r="T133" s="2">
        <f t="shared" si="117"/>
        <v>-5.8847952471454801E-2</v>
      </c>
      <c r="U133" s="2">
        <f t="shared" si="118"/>
        <v>0.41733883729742199</v>
      </c>
      <c r="V133" s="2">
        <f t="shared" si="119"/>
        <v>0.39377743088304001</v>
      </c>
      <c r="W133" s="2">
        <f t="shared" si="120"/>
        <v>0.2191016899662</v>
      </c>
      <c r="X133" s="2">
        <f t="shared" si="121"/>
        <v>0.40862982291104599</v>
      </c>
      <c r="Y133" s="2">
        <f t="shared" si="122"/>
        <v>1.1234341387004201</v>
      </c>
      <c r="Z133" s="2">
        <f t="shared" si="123"/>
        <v>1.7215885685285599</v>
      </c>
      <c r="AA133" s="2">
        <f t="shared" si="124"/>
        <v>3.1867862258185302</v>
      </c>
      <c r="AB133" s="2">
        <f t="shared" si="125"/>
        <v>0.1437478441709</v>
      </c>
      <c r="AC133" s="2">
        <f t="shared" si="126"/>
        <v>1.64909322402895</v>
      </c>
      <c r="AD133" s="2">
        <f t="shared" si="127"/>
        <v>9.9699920168E-2</v>
      </c>
      <c r="AE133" s="2">
        <f t="shared" si="128"/>
        <v>0.24502468170665401</v>
      </c>
      <c r="AF133" s="2">
        <f t="shared" si="129"/>
        <v>0.15629760460526301</v>
      </c>
      <c r="AG133" s="5">
        <f t="shared" si="130"/>
        <v>0.16490274496823401</v>
      </c>
      <c r="AH133" s="2">
        <f t="shared" si="131"/>
        <v>50.0225575653809</v>
      </c>
      <c r="AI133" s="2">
        <f t="shared" si="132"/>
        <v>0.64909322402894598</v>
      </c>
      <c r="AJ133" s="2">
        <f t="shared" si="133"/>
        <v>0.39880303486262297</v>
      </c>
      <c r="AK133" s="2">
        <f t="shared" si="134"/>
        <v>0.189905649600319</v>
      </c>
      <c r="AL133" s="2">
        <f t="shared" si="135"/>
        <v>0.204008512887561</v>
      </c>
      <c r="AM133" s="2">
        <f t="shared" si="136"/>
        <v>7.40704433634534</v>
      </c>
      <c r="AN133" s="2">
        <f t="shared" si="137"/>
        <v>0.1194017697982</v>
      </c>
      <c r="AO133" s="2">
        <f t="shared" si="138"/>
        <v>0.63580649851330395</v>
      </c>
      <c r="AP133" s="2">
        <f t="shared" si="139"/>
        <v>4.49158618107045</v>
      </c>
      <c r="AQ133" s="2">
        <f t="shared" si="140"/>
        <v>0.1064410047451</v>
      </c>
      <c r="AR133" s="2">
        <f t="shared" si="141"/>
        <v>0.53019945619800901</v>
      </c>
      <c r="AS133" s="2">
        <f t="shared" si="142"/>
        <v>0.83499532993943104</v>
      </c>
      <c r="AT133" s="2">
        <f t="shared" si="143"/>
        <v>0.103859094481112</v>
      </c>
      <c r="AU133" s="2">
        <f t="shared" si="144"/>
        <v>0.33828213268990498</v>
      </c>
      <c r="AV133" s="2">
        <f t="shared" si="145"/>
        <v>7.7527610287758494E-2</v>
      </c>
      <c r="AW133" s="2">
        <f t="shared" si="146"/>
        <v>0.57425044669233005</v>
      </c>
      <c r="AX133" s="2">
        <f t="shared" si="147"/>
        <v>-6.7410845771000002E-3</v>
      </c>
      <c r="AY133" s="5">
        <f t="shared" si="148"/>
        <v>1.0628733234730701</v>
      </c>
      <c r="AZ133" s="2">
        <f t="shared" si="149"/>
        <v>0.13685959575564199</v>
      </c>
      <c r="BA133" s="2">
        <f t="shared" si="150"/>
        <v>0.620686707200095</v>
      </c>
      <c r="BB133" s="2">
        <f t="shared" si="151"/>
        <v>9.6425342291425103E-2</v>
      </c>
      <c r="BC133" s="2">
        <f t="shared" si="152"/>
        <v>0.63227953064308795</v>
      </c>
      <c r="BD133" s="2">
        <f t="shared" si="153"/>
        <v>8.2308293126069201E-2</v>
      </c>
      <c r="BE133" s="2">
        <f t="shared" si="154"/>
        <v>-2.24800823604361E-2</v>
      </c>
      <c r="BF133" s="2">
        <f t="shared" si="155"/>
        <v>0.35713067112137098</v>
      </c>
    </row>
    <row r="134" spans="1:58" s="2" customFormat="1" x14ac:dyDescent="0.15">
      <c r="A134" s="3">
        <v>176</v>
      </c>
      <c r="B134" s="4">
        <v>2.5144451077100002E-2</v>
      </c>
      <c r="C134" s="4">
        <v>4.7338862352499997E-2</v>
      </c>
      <c r="D134" s="4">
        <v>4.05788038432E-2</v>
      </c>
      <c r="E134" s="4">
        <v>0.136459591184</v>
      </c>
      <c r="F134" s="4">
        <v>0.20994807794699999</v>
      </c>
      <c r="G134" s="2">
        <f t="shared" si="104"/>
        <v>4.4350047194556703</v>
      </c>
      <c r="H134" s="2">
        <f t="shared" si="105"/>
        <v>0.16260921559450001</v>
      </c>
      <c r="I134" s="2">
        <f t="shared" si="106"/>
        <v>0.632015038949165</v>
      </c>
      <c r="J134" s="2">
        <f t="shared" si="107"/>
        <v>-0.30531213990110001</v>
      </c>
      <c r="K134" s="2">
        <f t="shared" si="108"/>
        <v>3.4350047194556699</v>
      </c>
      <c r="L134" s="2">
        <f t="shared" si="109"/>
        <v>1.47342276402849</v>
      </c>
      <c r="M134" s="2">
        <f t="shared" si="110"/>
        <v>0.322089039717606</v>
      </c>
      <c r="N134" s="2">
        <f t="shared" si="111"/>
        <v>0.28709131473794403</v>
      </c>
      <c r="O134" s="2">
        <f t="shared" si="112"/>
        <v>0.45203113702584802</v>
      </c>
      <c r="P134" s="2">
        <f t="shared" si="113"/>
        <v>0.32057989601260301</v>
      </c>
      <c r="Q134" s="2">
        <f t="shared" si="114"/>
        <v>0.676052297835391</v>
      </c>
      <c r="R134" s="2">
        <f t="shared" si="115"/>
        <v>5.1738360440159203</v>
      </c>
      <c r="S134" s="2">
        <f t="shared" si="116"/>
        <v>0.47857610956841901</v>
      </c>
      <c r="T134" s="2">
        <f t="shared" si="117"/>
        <v>-0.233912613446286</v>
      </c>
      <c r="U134" s="2">
        <f t="shared" si="118"/>
        <v>0.33850074836722199</v>
      </c>
      <c r="V134" s="2">
        <f t="shared" si="119"/>
        <v>0.30339214677265403</v>
      </c>
      <c r="W134" s="2">
        <f t="shared" si="120"/>
        <v>0.16936927410380001</v>
      </c>
      <c r="X134" s="2">
        <f t="shared" si="121"/>
        <v>0.33838216108504598</v>
      </c>
      <c r="Y134" s="2">
        <f t="shared" si="122"/>
        <v>1.0844594496039901</v>
      </c>
      <c r="Z134" s="2">
        <f t="shared" si="123"/>
        <v>1.27460678887933</v>
      </c>
      <c r="AA134" s="2">
        <f t="shared" si="124"/>
        <v>3.0859738976057698</v>
      </c>
      <c r="AB134" s="2">
        <f t="shared" si="125"/>
        <v>0.1252634408951</v>
      </c>
      <c r="AC134" s="2">
        <f t="shared" si="126"/>
        <v>1.5385366182426099</v>
      </c>
      <c r="AD134" s="2">
        <f t="shared" si="127"/>
        <v>7.3488486763000002E-2</v>
      </c>
      <c r="AE134" s="2">
        <f t="shared" si="128"/>
        <v>0.21214451443108501</v>
      </c>
      <c r="AF134" s="2">
        <f t="shared" si="129"/>
        <v>0.124860639677249</v>
      </c>
      <c r="AG134" s="5">
        <f t="shared" si="130"/>
        <v>0.130235977490227</v>
      </c>
      <c r="AH134" s="2">
        <f t="shared" si="131"/>
        <v>43.083171675937699</v>
      </c>
      <c r="AI134" s="2">
        <f t="shared" si="132"/>
        <v>0.53853661824260701</v>
      </c>
      <c r="AJ134" s="2">
        <f t="shared" si="133"/>
        <v>0.33800530969266801</v>
      </c>
      <c r="AK134" s="2">
        <f t="shared" si="134"/>
        <v>0.14687379335643</v>
      </c>
      <c r="AL134" s="2">
        <f t="shared" si="135"/>
        <v>0.168336006426135</v>
      </c>
      <c r="AM134" s="2">
        <f t="shared" si="136"/>
        <v>5.1738360440159203</v>
      </c>
      <c r="AN134" s="2">
        <f t="shared" si="137"/>
        <v>9.5880787340799994E-2</v>
      </c>
      <c r="AO134" s="2">
        <f t="shared" si="138"/>
        <v>0.54158188299249399</v>
      </c>
      <c r="AP134" s="2">
        <f t="shared" si="139"/>
        <v>3.3628293162926099</v>
      </c>
      <c r="AQ134" s="2">
        <f t="shared" si="140"/>
        <v>8.9120728831500004E-2</v>
      </c>
      <c r="AR134" s="2">
        <f t="shared" si="141"/>
        <v>0.48488290905996001</v>
      </c>
      <c r="AS134" s="2">
        <f t="shared" si="142"/>
        <v>0.76645685544687403</v>
      </c>
      <c r="AT134" s="2">
        <f t="shared" si="143"/>
        <v>0.120226741234122</v>
      </c>
      <c r="AU134" s="2">
        <f t="shared" si="144"/>
        <v>0.34656709398776903</v>
      </c>
      <c r="AV134" s="2">
        <f t="shared" si="145"/>
        <v>0.104858455468301</v>
      </c>
      <c r="AW134" s="2">
        <f t="shared" si="146"/>
        <v>0.54252045642173397</v>
      </c>
      <c r="AX134" s="2">
        <f t="shared" si="147"/>
        <v>-1.5632242068499998E-2</v>
      </c>
      <c r="AY134" s="5">
        <f t="shared" si="148"/>
        <v>1.0415724194018501</v>
      </c>
      <c r="AZ134" s="2">
        <f t="shared" si="149"/>
        <v>0.10977185362690101</v>
      </c>
      <c r="BA134" s="2">
        <f t="shared" si="150"/>
        <v>0.66804214274728502</v>
      </c>
      <c r="BB134" s="2">
        <f t="shared" si="151"/>
        <v>6.3028681372943596E-2</v>
      </c>
      <c r="BC134" s="2">
        <f t="shared" si="152"/>
        <v>0.51674437591966804</v>
      </c>
      <c r="BD134" s="2">
        <f t="shared" si="153"/>
        <v>6.4116962160680593E-2</v>
      </c>
      <c r="BE134" s="2">
        <f t="shared" si="154"/>
        <v>-3.3204916038420101E-2</v>
      </c>
      <c r="BF134" s="2">
        <f t="shared" si="155"/>
        <v>0.33566371266071798</v>
      </c>
    </row>
    <row r="135" spans="1:58" s="2" customFormat="1" x14ac:dyDescent="0.15">
      <c r="A135" s="3">
        <v>172</v>
      </c>
      <c r="B135" s="4">
        <v>2.44675484457E-2</v>
      </c>
      <c r="C135" s="4">
        <v>4.7179548240499997E-2</v>
      </c>
      <c r="D135" s="4">
        <v>3.8609940824699998E-2</v>
      </c>
      <c r="E135" s="4">
        <v>0.139585958584</v>
      </c>
      <c r="F135" s="4">
        <v>0.21659970329799999</v>
      </c>
      <c r="G135" s="2">
        <f t="shared" si="104"/>
        <v>4.5909660303204403</v>
      </c>
      <c r="H135" s="2">
        <f t="shared" si="105"/>
        <v>0.16942015505749999</v>
      </c>
      <c r="I135" s="2">
        <f t="shared" si="106"/>
        <v>0.64228006588597097</v>
      </c>
      <c r="J135" s="2">
        <f t="shared" si="107"/>
        <v>-0.28956055548645998</v>
      </c>
      <c r="K135" s="2">
        <f t="shared" si="108"/>
        <v>3.5909660303204398</v>
      </c>
      <c r="L135" s="2">
        <f t="shared" si="109"/>
        <v>1.51868558251815</v>
      </c>
      <c r="M135" s="2">
        <f t="shared" si="110"/>
        <v>0.33272733198021398</v>
      </c>
      <c r="N135" s="2">
        <f t="shared" si="111"/>
        <v>0.29865852962426198</v>
      </c>
      <c r="O135" s="2">
        <f t="shared" si="112"/>
        <v>0.46374941470877001</v>
      </c>
      <c r="P135" s="2">
        <f t="shared" si="113"/>
        <v>0.32987147247487603</v>
      </c>
      <c r="Q135" s="2">
        <f t="shared" si="114"/>
        <v>0.69742569127883702</v>
      </c>
      <c r="R135" s="2">
        <f t="shared" si="115"/>
        <v>5.6099465233946804</v>
      </c>
      <c r="S135" s="2">
        <f t="shared" si="116"/>
        <v>0.49726235262496399</v>
      </c>
      <c r="T135" s="2">
        <f t="shared" si="117"/>
        <v>-0.19531895206310099</v>
      </c>
      <c r="U135" s="2">
        <f t="shared" si="118"/>
        <v>0.353523880140721</v>
      </c>
      <c r="V135" s="2">
        <f t="shared" si="119"/>
        <v>0.31969214501750898</v>
      </c>
      <c r="W135" s="2">
        <f t="shared" si="120"/>
        <v>0.17798976247330001</v>
      </c>
      <c r="X135" s="2">
        <f t="shared" si="121"/>
        <v>0.35232745157523199</v>
      </c>
      <c r="Y135" s="2">
        <f t="shared" si="122"/>
        <v>1.09426947836392</v>
      </c>
      <c r="Z135" s="2">
        <f t="shared" si="123"/>
        <v>1.36853256751827</v>
      </c>
      <c r="AA135" s="2">
        <f t="shared" si="124"/>
        <v>3.1068286761983002</v>
      </c>
      <c r="AB135" s="2">
        <f t="shared" si="125"/>
        <v>0.12760482206134999</v>
      </c>
      <c r="AC135" s="2">
        <f t="shared" si="126"/>
        <v>1.55172988383108</v>
      </c>
      <c r="AD135" s="2">
        <f t="shared" si="127"/>
        <v>7.7013744713999993E-2</v>
      </c>
      <c r="AE135" s="2">
        <f t="shared" si="128"/>
        <v>0.21621798111433699</v>
      </c>
      <c r="AF135" s="2">
        <f t="shared" si="129"/>
        <v>0.129041684738367</v>
      </c>
      <c r="AG135" s="5">
        <f t="shared" si="130"/>
        <v>0.13492472744412901</v>
      </c>
      <c r="AH135" s="2">
        <f t="shared" si="131"/>
        <v>43.937036269035197</v>
      </c>
      <c r="AI135" s="2">
        <f t="shared" si="132"/>
        <v>0.55172988383107802</v>
      </c>
      <c r="AJ135" s="2">
        <f t="shared" si="133"/>
        <v>0.34538952155849101</v>
      </c>
      <c r="AK135" s="2">
        <f t="shared" si="134"/>
        <v>0.152964965384143</v>
      </c>
      <c r="AL135" s="2">
        <f t="shared" si="135"/>
        <v>0.17306940208785199</v>
      </c>
      <c r="AM135" s="2">
        <f t="shared" si="136"/>
        <v>5.6099465233946804</v>
      </c>
      <c r="AN135" s="2">
        <f t="shared" si="137"/>
        <v>0.1009760177593</v>
      </c>
      <c r="AO135" s="2">
        <f t="shared" si="138"/>
        <v>0.56665735908830905</v>
      </c>
      <c r="AP135" s="2">
        <f t="shared" si="139"/>
        <v>3.6152854835431998</v>
      </c>
      <c r="AQ135" s="2">
        <f t="shared" si="140"/>
        <v>9.2406410343500001E-2</v>
      </c>
      <c r="AR135" s="2">
        <f t="shared" si="141"/>
        <v>0.49477235874358999</v>
      </c>
      <c r="AS135" s="2">
        <f t="shared" si="142"/>
        <v>0.76269342387397698</v>
      </c>
      <c r="AT135" s="2">
        <f t="shared" si="143"/>
        <v>0.11696484242201199</v>
      </c>
      <c r="AU135" s="2">
        <f t="shared" si="144"/>
        <v>0.34605353927674698</v>
      </c>
      <c r="AV135" s="2">
        <f t="shared" si="145"/>
        <v>9.7797291965746505E-2</v>
      </c>
      <c r="AW135" s="2">
        <f t="shared" si="146"/>
        <v>0.54863757806065405</v>
      </c>
      <c r="AX135" s="2">
        <f t="shared" si="147"/>
        <v>-1.5392665629500001E-2</v>
      </c>
      <c r="AY135" s="5">
        <f t="shared" si="148"/>
        <v>1.05058198307569</v>
      </c>
      <c r="AZ135" s="2">
        <f t="shared" si="149"/>
        <v>0.113237599205479</v>
      </c>
      <c r="BA135" s="2">
        <f t="shared" si="150"/>
        <v>0.65452808782994998</v>
      </c>
      <c r="BB135" s="2">
        <f t="shared" si="151"/>
        <v>6.6925665633248005E-2</v>
      </c>
      <c r="BC135" s="2">
        <f t="shared" si="152"/>
        <v>0.53414958749863495</v>
      </c>
      <c r="BD135" s="2">
        <f t="shared" si="153"/>
        <v>6.5326014074510996E-2</v>
      </c>
      <c r="BE135" s="2">
        <f t="shared" si="154"/>
        <v>-3.32542077477E-2</v>
      </c>
      <c r="BF135" s="2">
        <f t="shared" si="155"/>
        <v>0.33664127628822299</v>
      </c>
    </row>
    <row r="136" spans="1:58" s="2" customFormat="1" x14ac:dyDescent="0.15">
      <c r="A136" s="3">
        <v>184</v>
      </c>
      <c r="B136" s="4">
        <v>2.4573018907600001E-2</v>
      </c>
      <c r="C136" s="4">
        <v>4.6800549500699999E-2</v>
      </c>
      <c r="D136" s="4">
        <v>3.8878507858399997E-2</v>
      </c>
      <c r="E136" s="4">
        <v>0.13824726212800001</v>
      </c>
      <c r="F136" s="4">
        <v>0.216514547419</v>
      </c>
      <c r="G136" s="2">
        <f t="shared" si="104"/>
        <v>4.6263248985091803</v>
      </c>
      <c r="H136" s="2">
        <f t="shared" si="105"/>
        <v>0.1697139979183</v>
      </c>
      <c r="I136" s="2">
        <f t="shared" si="106"/>
        <v>0.64452817139480501</v>
      </c>
      <c r="J136" s="2">
        <f t="shared" si="107"/>
        <v>-0.28604214466982197</v>
      </c>
      <c r="K136" s="2">
        <f t="shared" si="108"/>
        <v>3.6263248985091798</v>
      </c>
      <c r="L136" s="2">
        <f t="shared" si="109"/>
        <v>1.5288127928950499</v>
      </c>
      <c r="M136" s="2">
        <f t="shared" si="110"/>
        <v>0.33350709019741898</v>
      </c>
      <c r="N136" s="2">
        <f t="shared" si="111"/>
        <v>0.29942330940691397</v>
      </c>
      <c r="O136" s="2">
        <f t="shared" si="112"/>
        <v>0.465063114965098</v>
      </c>
      <c r="P136" s="2">
        <f t="shared" si="113"/>
        <v>0.33073471656054398</v>
      </c>
      <c r="Q136" s="2">
        <f t="shared" si="114"/>
        <v>0.69553981946634102</v>
      </c>
      <c r="R136" s="2">
        <f t="shared" si="115"/>
        <v>5.5690035277992402</v>
      </c>
      <c r="S136" s="2">
        <f t="shared" si="116"/>
        <v>0.49605500927956098</v>
      </c>
      <c r="T136" s="2">
        <f t="shared" si="117"/>
        <v>-0.19883921912886901</v>
      </c>
      <c r="U136" s="2">
        <f t="shared" si="118"/>
        <v>0.35273564865254298</v>
      </c>
      <c r="V136" s="2">
        <f t="shared" si="119"/>
        <v>0.31887021193582699</v>
      </c>
      <c r="W136" s="2">
        <f t="shared" si="120"/>
        <v>0.17763603956060001</v>
      </c>
      <c r="X136" s="2">
        <f t="shared" si="121"/>
        <v>0.35150097992280999</v>
      </c>
      <c r="Y136" s="2">
        <f t="shared" si="122"/>
        <v>1.09340743525291</v>
      </c>
      <c r="Z136" s="2">
        <f t="shared" si="123"/>
        <v>1.3598736253874399</v>
      </c>
      <c r="AA136" s="2">
        <f t="shared" si="124"/>
        <v>3.1050125378871201</v>
      </c>
      <c r="AB136" s="2">
        <f t="shared" si="125"/>
        <v>0.12769652763870001</v>
      </c>
      <c r="AC136" s="2">
        <f t="shared" si="126"/>
        <v>1.5661398575729799</v>
      </c>
      <c r="AD136" s="2">
        <f t="shared" si="127"/>
        <v>7.8267285290999994E-2</v>
      </c>
      <c r="AE136" s="2">
        <f t="shared" si="128"/>
        <v>0.22061925264994101</v>
      </c>
      <c r="AF136" s="2">
        <f t="shared" si="129"/>
        <v>0.13140498463848399</v>
      </c>
      <c r="AG136" s="5">
        <f t="shared" si="130"/>
        <v>0.13734929032301901</v>
      </c>
      <c r="AH136" s="2">
        <f t="shared" si="131"/>
        <v>44.861390237582299</v>
      </c>
      <c r="AI136" s="2">
        <f t="shared" si="132"/>
        <v>0.56613985757297702</v>
      </c>
      <c r="AJ136" s="2">
        <f t="shared" si="133"/>
        <v>0.35341385410463799</v>
      </c>
      <c r="AK136" s="2">
        <f t="shared" si="134"/>
        <v>0.15541700723391899</v>
      </c>
      <c r="AL136" s="2">
        <f t="shared" si="135"/>
        <v>0.17637293453734801</v>
      </c>
      <c r="AM136" s="2">
        <f t="shared" si="136"/>
        <v>5.5690035277992402</v>
      </c>
      <c r="AN136" s="2">
        <f t="shared" si="137"/>
        <v>9.9368754269599999E-2</v>
      </c>
      <c r="AO136" s="2">
        <f t="shared" si="138"/>
        <v>0.56100675964445901</v>
      </c>
      <c r="AP136" s="2">
        <f t="shared" si="139"/>
        <v>3.5558788066535998</v>
      </c>
      <c r="AQ136" s="2">
        <f t="shared" si="140"/>
        <v>9.1446712627300003E-2</v>
      </c>
      <c r="AR136" s="2">
        <f t="shared" si="141"/>
        <v>0.49417883855221501</v>
      </c>
      <c r="AS136" s="2">
        <f t="shared" si="142"/>
        <v>0.78764482725274898</v>
      </c>
      <c r="AT136" s="2">
        <f t="shared" si="143"/>
        <v>0.116546156396946</v>
      </c>
      <c r="AU136" s="2">
        <f t="shared" si="144"/>
        <v>0.34427345843831503</v>
      </c>
      <c r="AV136" s="2">
        <f t="shared" si="145"/>
        <v>9.8766579893695305E-2</v>
      </c>
      <c r="AW136" s="2">
        <f t="shared" si="146"/>
        <v>0.55003143185665404</v>
      </c>
      <c r="AX136" s="2">
        <f t="shared" si="147"/>
        <v>-1.3179427336300001E-2</v>
      </c>
      <c r="AY136" s="5">
        <f t="shared" si="148"/>
        <v>1.0466787757018901</v>
      </c>
      <c r="AZ136" s="2">
        <f t="shared" si="149"/>
        <v>0.115438882586497</v>
      </c>
      <c r="BA136" s="2">
        <f t="shared" si="150"/>
        <v>0.65809433560409503</v>
      </c>
      <c r="BB136" s="2">
        <f t="shared" si="151"/>
        <v>6.9418343732688903E-2</v>
      </c>
      <c r="BC136" s="2">
        <f t="shared" si="152"/>
        <v>0.53457192643176599</v>
      </c>
      <c r="BD136" s="2">
        <f t="shared" si="153"/>
        <v>6.7880126854640496E-2</v>
      </c>
      <c r="BE136" s="2">
        <f t="shared" si="154"/>
        <v>-2.9951980879548E-2</v>
      </c>
      <c r="BF136" s="2">
        <f t="shared" si="155"/>
        <v>0.34229574817886699</v>
      </c>
    </row>
    <row r="137" spans="1:58" s="2" customFormat="1" x14ac:dyDescent="0.15">
      <c r="A137" s="3">
        <v>161</v>
      </c>
      <c r="B137" s="4">
        <v>2.82263246807E-2</v>
      </c>
      <c r="C137" s="4">
        <v>5.0429090987900001E-2</v>
      </c>
      <c r="D137" s="4">
        <v>4.85954411009E-2</v>
      </c>
      <c r="E137" s="4">
        <v>0.12636727858800001</v>
      </c>
      <c r="F137" s="4">
        <v>0.18038880076300001</v>
      </c>
      <c r="G137" s="2">
        <f t="shared" si="104"/>
        <v>3.5770781751010099</v>
      </c>
      <c r="H137" s="2">
        <f t="shared" si="105"/>
        <v>0.12995970977509999</v>
      </c>
      <c r="I137" s="2">
        <f t="shared" si="106"/>
        <v>0.56304001734559295</v>
      </c>
      <c r="J137" s="2">
        <f t="shared" si="107"/>
        <v>-0.39933592175754701</v>
      </c>
      <c r="K137" s="2">
        <f t="shared" si="108"/>
        <v>2.5770781751010099</v>
      </c>
      <c r="L137" s="2">
        <f t="shared" si="109"/>
        <v>1.20457384182532</v>
      </c>
      <c r="M137" s="2">
        <f t="shared" si="110"/>
        <v>0.266741642292873</v>
      </c>
      <c r="N137" s="2">
        <f t="shared" si="111"/>
        <v>0.22982304457028499</v>
      </c>
      <c r="O137" s="2">
        <f t="shared" si="112"/>
        <v>0.38573787567331602</v>
      </c>
      <c r="P137" s="2">
        <f t="shared" si="113"/>
        <v>0.27050419081042099</v>
      </c>
      <c r="Q137" s="2">
        <f t="shared" si="114"/>
        <v>0.575556460083543</v>
      </c>
      <c r="R137" s="2">
        <f t="shared" si="115"/>
        <v>3.7120519266087899</v>
      </c>
      <c r="S137" s="2">
        <f t="shared" si="116"/>
        <v>0.39302439727500998</v>
      </c>
      <c r="T137" s="2">
        <f t="shared" si="117"/>
        <v>-0.383655757536704</v>
      </c>
      <c r="U137" s="2">
        <f t="shared" si="118"/>
        <v>0.27118561436621302</v>
      </c>
      <c r="V137" s="2">
        <f t="shared" si="119"/>
        <v>0.23391125275020999</v>
      </c>
      <c r="W137" s="2">
        <f t="shared" si="120"/>
        <v>0.13179335966210001</v>
      </c>
      <c r="X137" s="2">
        <f t="shared" si="121"/>
        <v>0.27541699212219201</v>
      </c>
      <c r="Y137" s="2">
        <f t="shared" si="122"/>
        <v>1.03709038182964</v>
      </c>
      <c r="Z137" s="2">
        <f t="shared" si="123"/>
        <v>0.92666860840384102</v>
      </c>
      <c r="AA137" s="2">
        <f t="shared" si="124"/>
        <v>3.0028015697120098</v>
      </c>
      <c r="AB137" s="2">
        <f t="shared" si="125"/>
        <v>0.11449212093195001</v>
      </c>
      <c r="AC137" s="2">
        <f t="shared" si="126"/>
        <v>1.4274961269928801</v>
      </c>
      <c r="AD137" s="2">
        <f t="shared" si="127"/>
        <v>5.4021522175000003E-2</v>
      </c>
      <c r="AE137" s="2">
        <f t="shared" si="128"/>
        <v>0.176105791576463</v>
      </c>
      <c r="AF137" s="2">
        <f t="shared" si="129"/>
        <v>9.7537187394315397E-2</v>
      </c>
      <c r="AG137" s="5">
        <f t="shared" si="130"/>
        <v>0.10044211049229</v>
      </c>
      <c r="AH137" s="2">
        <f t="shared" si="131"/>
        <v>35.592194940450703</v>
      </c>
      <c r="AI137" s="2">
        <f t="shared" si="132"/>
        <v>0.42749612699287798</v>
      </c>
      <c r="AJ137" s="2">
        <f t="shared" si="133"/>
        <v>0.274380290545718</v>
      </c>
      <c r="AK137" s="2">
        <f t="shared" si="134"/>
        <v>0.111157798219771</v>
      </c>
      <c r="AL137" s="2">
        <f t="shared" si="135"/>
        <v>0.134256346077232</v>
      </c>
      <c r="AM137" s="2">
        <f t="shared" si="136"/>
        <v>3.7120519266087899</v>
      </c>
      <c r="AN137" s="2">
        <f t="shared" si="137"/>
        <v>7.7771837487099996E-2</v>
      </c>
      <c r="AO137" s="2">
        <f t="shared" si="138"/>
        <v>0.44450519302275099</v>
      </c>
      <c r="AP137" s="2">
        <f t="shared" si="139"/>
        <v>2.6003936938368399</v>
      </c>
      <c r="AQ137" s="2">
        <f t="shared" si="140"/>
        <v>7.5938187600100002E-2</v>
      </c>
      <c r="AR137" s="2">
        <f t="shared" si="141"/>
        <v>0.42952345561314897</v>
      </c>
      <c r="AS137" s="2">
        <f t="shared" si="142"/>
        <v>0.69461547933672696</v>
      </c>
      <c r="AT137" s="2">
        <f t="shared" si="143"/>
        <v>0.141184727630356</v>
      </c>
      <c r="AU137" s="2">
        <f t="shared" si="144"/>
        <v>0.35378646450551599</v>
      </c>
      <c r="AV137" s="2">
        <f t="shared" si="145"/>
        <v>0.13675315371973401</v>
      </c>
      <c r="AW137" s="2">
        <f t="shared" si="146"/>
        <v>0.507634807735168</v>
      </c>
      <c r="AX137" s="2">
        <f t="shared" si="147"/>
        <v>-2.1916665425099999E-2</v>
      </c>
      <c r="AY137" s="5">
        <f t="shared" si="148"/>
        <v>1.0141093719751499</v>
      </c>
      <c r="AZ137" s="2">
        <f t="shared" si="149"/>
        <v>8.6552185788535893E-2</v>
      </c>
      <c r="BA137" s="2">
        <f t="shared" si="150"/>
        <v>0.75221605526436497</v>
      </c>
      <c r="BB137" s="2">
        <f t="shared" si="151"/>
        <v>4.0012117205257602E-2</v>
      </c>
      <c r="BC137" s="2">
        <f t="shared" si="152"/>
        <v>0.43781930958561599</v>
      </c>
      <c r="BD137" s="2">
        <f t="shared" si="153"/>
        <v>4.91838602363837E-2</v>
      </c>
      <c r="BE137" s="2">
        <f t="shared" si="154"/>
        <v>-4.0672580724155999E-2</v>
      </c>
      <c r="BF137" s="2">
        <f t="shared" si="155"/>
        <v>0.31277668753759102</v>
      </c>
    </row>
    <row r="138" spans="1:58" s="2" customFormat="1" x14ac:dyDescent="0.15">
      <c r="A138" s="3">
        <v>168</v>
      </c>
      <c r="B138" s="4">
        <v>2.8977366152E-2</v>
      </c>
      <c r="C138" s="4">
        <v>5.0442611689499997E-2</v>
      </c>
      <c r="D138" s="4">
        <v>5.0697489610999999E-2</v>
      </c>
      <c r="E138" s="4">
        <v>0.122989321806</v>
      </c>
      <c r="F138" s="4">
        <v>0.17389991221100001</v>
      </c>
      <c r="G138" s="2">
        <f t="shared" si="104"/>
        <v>3.4474803422440301</v>
      </c>
      <c r="H138" s="2">
        <f t="shared" si="105"/>
        <v>0.1234573005215</v>
      </c>
      <c r="I138" s="2">
        <f t="shared" si="106"/>
        <v>0.55030717482814595</v>
      </c>
      <c r="J138" s="2">
        <f t="shared" si="107"/>
        <v>-0.41472967195959498</v>
      </c>
      <c r="K138" s="2">
        <f t="shared" si="108"/>
        <v>2.4474803422440301</v>
      </c>
      <c r="L138" s="2">
        <f t="shared" si="109"/>
        <v>1.1605455581698401</v>
      </c>
      <c r="M138" s="2">
        <f t="shared" si="110"/>
        <v>0.25566074705243802</v>
      </c>
      <c r="N138" s="2">
        <f t="shared" si="111"/>
        <v>0.21867854777937201</v>
      </c>
      <c r="O138" s="2">
        <f t="shared" si="112"/>
        <v>0.37261156312231197</v>
      </c>
      <c r="P138" s="2">
        <f t="shared" si="113"/>
        <v>0.26065194850968598</v>
      </c>
      <c r="Q138" s="2">
        <f t="shared" si="114"/>
        <v>0.54854785318327703</v>
      </c>
      <c r="R138" s="2">
        <f t="shared" si="115"/>
        <v>3.4301483869384399</v>
      </c>
      <c r="S138" s="2">
        <f t="shared" si="116"/>
        <v>0.37159588062465398</v>
      </c>
      <c r="T138" s="2">
        <f t="shared" si="117"/>
        <v>-0.41681409152405402</v>
      </c>
      <c r="U138" s="2">
        <f t="shared" si="118"/>
        <v>0.25504319148165799</v>
      </c>
      <c r="V138" s="2">
        <f t="shared" si="119"/>
        <v>0.218118992823194</v>
      </c>
      <c r="W138" s="2">
        <f t="shared" si="120"/>
        <v>0.1232024226</v>
      </c>
      <c r="X138" s="2">
        <f t="shared" si="121"/>
        <v>0.25996619861860698</v>
      </c>
      <c r="Y138" s="2">
        <f t="shared" si="122"/>
        <v>1.02398625634492</v>
      </c>
      <c r="Z138" s="2">
        <f t="shared" si="123"/>
        <v>0.852065978019801</v>
      </c>
      <c r="AA138" s="2">
        <f t="shared" si="124"/>
        <v>2.9835374477066701</v>
      </c>
      <c r="AB138" s="2">
        <f t="shared" si="125"/>
        <v>0.112298700911</v>
      </c>
      <c r="AC138" s="2">
        <f t="shared" si="126"/>
        <v>1.4139431753701801</v>
      </c>
      <c r="AD138" s="2">
        <f t="shared" si="127"/>
        <v>5.0910590404999997E-2</v>
      </c>
      <c r="AE138" s="2">
        <f t="shared" si="128"/>
        <v>0.17148008271019</v>
      </c>
      <c r="AF138" s="2">
        <f t="shared" si="129"/>
        <v>9.3435283771570898E-2</v>
      </c>
      <c r="AG138" s="5">
        <f t="shared" si="130"/>
        <v>9.5829987842288897E-2</v>
      </c>
      <c r="AH138" s="2">
        <f t="shared" si="131"/>
        <v>34.638237951705101</v>
      </c>
      <c r="AI138" s="2">
        <f t="shared" si="132"/>
        <v>0.413943175370175</v>
      </c>
      <c r="AJ138" s="2">
        <f t="shared" si="133"/>
        <v>0.26642636872088399</v>
      </c>
      <c r="AK138" s="2">
        <f t="shared" si="134"/>
        <v>0.10539078033605701</v>
      </c>
      <c r="AL138" s="2">
        <f t="shared" si="135"/>
        <v>0.12925733519823501</v>
      </c>
      <c r="AM138" s="2">
        <f t="shared" si="136"/>
        <v>3.4301483869384399</v>
      </c>
      <c r="AN138" s="2">
        <f t="shared" si="137"/>
        <v>7.2291832195000003E-2</v>
      </c>
      <c r="AO138" s="2">
        <f t="shared" si="138"/>
        <v>0.41621946770291302</v>
      </c>
      <c r="AP138" s="2">
        <f t="shared" si="139"/>
        <v>2.4259450073305899</v>
      </c>
      <c r="AQ138" s="2">
        <f t="shared" si="140"/>
        <v>7.2546710116500004E-2</v>
      </c>
      <c r="AR138" s="2">
        <f t="shared" si="141"/>
        <v>0.41830076303901897</v>
      </c>
      <c r="AS138" s="2">
        <f t="shared" si="142"/>
        <v>0.70423710202383305</v>
      </c>
      <c r="AT138" s="2">
        <f t="shared" si="143"/>
        <v>0.14522887064068599</v>
      </c>
      <c r="AU138" s="2">
        <f t="shared" si="144"/>
        <v>0.35409745269924803</v>
      </c>
      <c r="AV138" s="2">
        <f t="shared" si="145"/>
        <v>0.145855656055662</v>
      </c>
      <c r="AW138" s="2">
        <f t="shared" si="146"/>
        <v>0.50030654334517699</v>
      </c>
      <c r="AX138" s="2">
        <f t="shared" si="147"/>
        <v>-2.16361197115E-2</v>
      </c>
      <c r="AY138" s="5">
        <f t="shared" si="148"/>
        <v>0.99793549737096698</v>
      </c>
      <c r="AZ138" s="2">
        <f t="shared" si="149"/>
        <v>8.2996496167765804E-2</v>
      </c>
      <c r="BA138" s="2">
        <f t="shared" si="150"/>
        <v>0.77445259048475201</v>
      </c>
      <c r="BB138" s="2">
        <f t="shared" si="151"/>
        <v>3.7072360352816199E-2</v>
      </c>
      <c r="BC138" s="2">
        <f t="shared" si="152"/>
        <v>0.42115048901267399</v>
      </c>
      <c r="BD138" s="2">
        <f t="shared" si="153"/>
        <v>4.8211036440394602E-2</v>
      </c>
      <c r="BE138" s="2">
        <f t="shared" si="154"/>
        <v>-3.9861617598539997E-2</v>
      </c>
      <c r="BF138" s="2">
        <f t="shared" si="155"/>
        <v>0.31160793562929801</v>
      </c>
    </row>
    <row r="139" spans="1:58" s="2" customFormat="1" x14ac:dyDescent="0.15">
      <c r="A139" s="3">
        <v>146</v>
      </c>
      <c r="B139" s="4">
        <v>2.9662244954500001E-2</v>
      </c>
      <c r="C139" s="4">
        <v>5.1274913165399998E-2</v>
      </c>
      <c r="D139" s="4">
        <v>5.1698027286600001E-2</v>
      </c>
      <c r="E139" s="4">
        <v>0.123645601632</v>
      </c>
      <c r="F139" s="4">
        <v>0.17284487760100001</v>
      </c>
      <c r="G139" s="2">
        <f t="shared" si="104"/>
        <v>3.3709443259990701</v>
      </c>
      <c r="H139" s="2">
        <f t="shared" si="105"/>
        <v>0.1215699644356</v>
      </c>
      <c r="I139" s="2">
        <f t="shared" si="106"/>
        <v>0.54243297309835703</v>
      </c>
      <c r="J139" s="2">
        <f t="shared" si="107"/>
        <v>-0.42398080016305001</v>
      </c>
      <c r="K139" s="2">
        <f t="shared" si="108"/>
        <v>2.3709443259990701</v>
      </c>
      <c r="L139" s="2">
        <f t="shared" si="109"/>
        <v>1.1340539580647599</v>
      </c>
      <c r="M139" s="2">
        <f t="shared" si="110"/>
        <v>0.251829806309254</v>
      </c>
      <c r="N139" s="2">
        <f t="shared" si="111"/>
        <v>0.21504546689506099</v>
      </c>
      <c r="O139" s="2">
        <f t="shared" si="112"/>
        <v>0.367128073416704</v>
      </c>
      <c r="P139" s="2">
        <f t="shared" si="113"/>
        <v>0.25679477652059801</v>
      </c>
      <c r="Q139" s="2">
        <f t="shared" si="114"/>
        <v>0.53952651220506298</v>
      </c>
      <c r="R139" s="2">
        <f t="shared" si="115"/>
        <v>3.3433553787805899</v>
      </c>
      <c r="S139" s="2">
        <f t="shared" si="116"/>
        <v>0.36544776819060099</v>
      </c>
      <c r="T139" s="2">
        <f t="shared" si="117"/>
        <v>-0.42734529262357701</v>
      </c>
      <c r="U139" s="2">
        <f t="shared" si="118"/>
        <v>0.250806783484811</v>
      </c>
      <c r="V139" s="2">
        <f t="shared" si="119"/>
        <v>0.21412216322432501</v>
      </c>
      <c r="W139" s="2">
        <f t="shared" si="120"/>
        <v>0.12114685031440001</v>
      </c>
      <c r="X139" s="2">
        <f t="shared" si="121"/>
        <v>0.25565980836798902</v>
      </c>
      <c r="Y139" s="2">
        <f t="shared" si="122"/>
        <v>1.01957172979887</v>
      </c>
      <c r="Z139" s="2">
        <f t="shared" si="123"/>
        <v>0.82848444860233705</v>
      </c>
      <c r="AA139" s="2">
        <f t="shared" si="124"/>
        <v>2.9765300614400001</v>
      </c>
      <c r="AB139" s="2">
        <f t="shared" si="125"/>
        <v>0.1122714524438</v>
      </c>
      <c r="AC139" s="2">
        <f t="shared" si="126"/>
        <v>1.39790558919701</v>
      </c>
      <c r="AD139" s="2">
        <f t="shared" si="127"/>
        <v>4.9199275968999999E-2</v>
      </c>
      <c r="AE139" s="2">
        <f t="shared" si="128"/>
        <v>0.16593880550996101</v>
      </c>
      <c r="AF139" s="2">
        <f t="shared" si="129"/>
        <v>9.0355238288938197E-2</v>
      </c>
      <c r="AG139" s="5">
        <f t="shared" si="130"/>
        <v>9.2655111238199001E-2</v>
      </c>
      <c r="AH139" s="2">
        <f t="shared" si="131"/>
        <v>33.497510876795502</v>
      </c>
      <c r="AI139" s="2">
        <f t="shared" si="132"/>
        <v>0.39790558919701202</v>
      </c>
      <c r="AJ139" s="2">
        <f t="shared" si="133"/>
        <v>0.25695909825707602</v>
      </c>
      <c r="AK139" s="2">
        <f t="shared" si="134"/>
        <v>0.101855823106775</v>
      </c>
      <c r="AL139" s="2">
        <f t="shared" si="135"/>
        <v>0.12502157814973799</v>
      </c>
      <c r="AM139" s="2">
        <f t="shared" si="136"/>
        <v>3.3433553787805899</v>
      </c>
      <c r="AN139" s="2">
        <f t="shared" si="137"/>
        <v>7.1947574345400001E-2</v>
      </c>
      <c r="AO139" s="2">
        <f t="shared" si="138"/>
        <v>0.41032328798670098</v>
      </c>
      <c r="AP139" s="2">
        <f t="shared" si="139"/>
        <v>2.39168896999767</v>
      </c>
      <c r="AQ139" s="2">
        <f t="shared" si="140"/>
        <v>7.2370688466599997E-2</v>
      </c>
      <c r="AR139" s="2">
        <f t="shared" si="141"/>
        <v>0.41373471002199302</v>
      </c>
      <c r="AS139" s="2">
        <f t="shared" si="142"/>
        <v>0.68382119086889803</v>
      </c>
      <c r="AT139" s="2">
        <f t="shared" si="143"/>
        <v>0.1474411033593</v>
      </c>
      <c r="AU139" s="2">
        <f t="shared" si="144"/>
        <v>0.35554314585262597</v>
      </c>
      <c r="AV139" s="2">
        <f t="shared" si="145"/>
        <v>0.148477121784862</v>
      </c>
      <c r="AW139" s="2">
        <f t="shared" si="146"/>
        <v>0.496411783745281</v>
      </c>
      <c r="AX139" s="2">
        <f t="shared" si="147"/>
        <v>-2.3171412497599998E-2</v>
      </c>
      <c r="AY139" s="5">
        <f t="shared" si="148"/>
        <v>0.996519583408909</v>
      </c>
      <c r="AZ139" s="2">
        <f t="shared" si="149"/>
        <v>8.0382744364535005E-2</v>
      </c>
      <c r="BA139" s="2">
        <f t="shared" si="150"/>
        <v>0.78245122943008605</v>
      </c>
      <c r="BB139" s="2">
        <f t="shared" si="151"/>
        <v>3.4787276308909897E-2</v>
      </c>
      <c r="BC139" s="2">
        <f t="shared" si="152"/>
        <v>0.41783125613250999</v>
      </c>
      <c r="BD139" s="2">
        <f t="shared" si="153"/>
        <v>4.5986712406131801E-2</v>
      </c>
      <c r="BE139" s="2">
        <f t="shared" si="154"/>
        <v>-4.2051316612535999E-2</v>
      </c>
      <c r="BF139" s="2">
        <f t="shared" si="155"/>
        <v>0.30591577898025801</v>
      </c>
    </row>
    <row r="140" spans="1:58" s="2" customFormat="1" x14ac:dyDescent="0.15">
      <c r="A140" s="3">
        <v>191.5</v>
      </c>
      <c r="B140" s="4">
        <v>2.4374337319499999E-2</v>
      </c>
      <c r="C140" s="4">
        <v>4.7366102931799998E-2</v>
      </c>
      <c r="D140" s="4">
        <v>3.8235254492700002E-2</v>
      </c>
      <c r="E140" s="4">
        <v>0.142993818489</v>
      </c>
      <c r="F140" s="4">
        <v>0.227066935227</v>
      </c>
      <c r="G140" s="2">
        <f t="shared" si="104"/>
        <v>4.7938699021522204</v>
      </c>
      <c r="H140" s="2">
        <f t="shared" si="105"/>
        <v>0.17970083229520001</v>
      </c>
      <c r="I140" s="2">
        <f t="shared" si="106"/>
        <v>0.65480757528624001</v>
      </c>
      <c r="J140" s="2">
        <f t="shared" si="107"/>
        <v>-0.26962814300103199</v>
      </c>
      <c r="K140" s="2">
        <f t="shared" si="108"/>
        <v>3.79386990215222</v>
      </c>
      <c r="L140" s="2">
        <f t="shared" si="109"/>
        <v>1.5761518808730799</v>
      </c>
      <c r="M140" s="2">
        <f t="shared" si="110"/>
        <v>0.34806269252620298</v>
      </c>
      <c r="N140" s="2">
        <f t="shared" si="111"/>
        <v>0.31569768052997899</v>
      </c>
      <c r="O140" s="2">
        <f t="shared" si="112"/>
        <v>0.47982760783086498</v>
      </c>
      <c r="P140" s="2">
        <f t="shared" si="113"/>
        <v>0.34302983291856598</v>
      </c>
      <c r="Q140" s="2">
        <f t="shared" si="114"/>
        <v>0.71176073191784295</v>
      </c>
      <c r="R140" s="2">
        <f t="shared" si="115"/>
        <v>5.9386798450720999</v>
      </c>
      <c r="S140" s="2">
        <f t="shared" si="116"/>
        <v>0.51503320449902201</v>
      </c>
      <c r="T140" s="2">
        <f t="shared" si="117"/>
        <v>-0.16778666459504901</v>
      </c>
      <c r="U140" s="2">
        <f t="shared" si="118"/>
        <v>0.37011199615826601</v>
      </c>
      <c r="V140" s="2">
        <f t="shared" si="119"/>
        <v>0.33852740463611802</v>
      </c>
      <c r="W140" s="2">
        <f t="shared" si="120"/>
        <v>0.18883168073430001</v>
      </c>
      <c r="X140" s="2">
        <f t="shared" si="121"/>
        <v>0.36661011345668298</v>
      </c>
      <c r="Y140" s="2">
        <f t="shared" si="122"/>
        <v>1.10080004175047</v>
      </c>
      <c r="Z140" s="2">
        <f t="shared" si="123"/>
        <v>1.43694067327707</v>
      </c>
      <c r="AA140" s="2">
        <f t="shared" si="124"/>
        <v>3.1230049569867799</v>
      </c>
      <c r="AB140" s="2">
        <f t="shared" si="125"/>
        <v>0.13265109485984999</v>
      </c>
      <c r="AC140" s="2">
        <f t="shared" si="126"/>
        <v>1.5879493087630701</v>
      </c>
      <c r="AD140" s="2">
        <f t="shared" si="127"/>
        <v>8.4073116737999998E-2</v>
      </c>
      <c r="AE140" s="2">
        <f t="shared" si="128"/>
        <v>0.22718733584626799</v>
      </c>
      <c r="AF140" s="2">
        <f t="shared" si="129"/>
        <v>0.138204006483164</v>
      </c>
      <c r="AG140" s="5">
        <f t="shared" si="130"/>
        <v>0.14494352787249601</v>
      </c>
      <c r="AH140" s="2">
        <f t="shared" si="131"/>
        <v>46.244344088161199</v>
      </c>
      <c r="AI140" s="2">
        <f t="shared" si="132"/>
        <v>0.58794930876307405</v>
      </c>
      <c r="AJ140" s="2">
        <f t="shared" si="133"/>
        <v>0.36547864105927902</v>
      </c>
      <c r="AK140" s="2">
        <f t="shared" si="134"/>
        <v>0.16478415559373899</v>
      </c>
      <c r="AL140" s="2">
        <f t="shared" si="135"/>
        <v>0.183987995210701</v>
      </c>
      <c r="AM140" s="2">
        <f t="shared" si="136"/>
        <v>5.9386798450720999</v>
      </c>
      <c r="AN140" s="2">
        <f t="shared" si="137"/>
        <v>0.1047585639963</v>
      </c>
      <c r="AO140" s="2">
        <f t="shared" si="138"/>
        <v>0.57804502485579801</v>
      </c>
      <c r="AP140" s="2">
        <f t="shared" si="139"/>
        <v>3.7398422054782099</v>
      </c>
      <c r="AQ140" s="2">
        <f t="shared" si="140"/>
        <v>9.5627715557199996E-2</v>
      </c>
      <c r="AR140" s="2">
        <f t="shared" si="141"/>
        <v>0.50235214872678102</v>
      </c>
      <c r="AS140" s="2">
        <f t="shared" si="142"/>
        <v>0.80254170667105895</v>
      </c>
      <c r="AT140" s="2">
        <f t="shared" si="143"/>
        <v>0.11347162305793999</v>
      </c>
      <c r="AU140" s="2">
        <f t="shared" si="144"/>
        <v>0.34256017841623898</v>
      </c>
      <c r="AV140" s="2">
        <f t="shared" si="145"/>
        <v>9.3645917971248202E-2</v>
      </c>
      <c r="AW140" s="2">
        <f t="shared" si="146"/>
        <v>0.55613312562912698</v>
      </c>
      <c r="AX140" s="2">
        <f t="shared" si="147"/>
        <v>-1.15545988192E-2</v>
      </c>
      <c r="AY140" s="5">
        <f t="shared" si="148"/>
        <v>1.0508113864720501</v>
      </c>
      <c r="AZ140" s="2">
        <f t="shared" si="149"/>
        <v>0.12150810900808399</v>
      </c>
      <c r="BA140" s="2">
        <f t="shared" si="150"/>
        <v>0.64942529206036104</v>
      </c>
      <c r="BB140" s="2">
        <f t="shared" si="151"/>
        <v>7.6432685124201899E-2</v>
      </c>
      <c r="BC140" s="2">
        <f t="shared" si="152"/>
        <v>0.56234707003374795</v>
      </c>
      <c r="BD140" s="2">
        <f t="shared" si="153"/>
        <v>7.2306268077239305E-2</v>
      </c>
      <c r="BE140" s="2">
        <f t="shared" si="154"/>
        <v>-2.8113948166511998E-2</v>
      </c>
      <c r="BF140" s="2">
        <f t="shared" si="155"/>
        <v>0.34695282159336099</v>
      </c>
    </row>
    <row r="141" spans="1:58" s="2" customFormat="1" x14ac:dyDescent="0.15">
      <c r="A141" s="3">
        <v>204</v>
      </c>
      <c r="B141" s="4">
        <v>2.28480208481E-2</v>
      </c>
      <c r="C141" s="4">
        <v>4.6848893119E-2</v>
      </c>
      <c r="D141" s="4">
        <v>3.3563836769600001E-2</v>
      </c>
      <c r="E141" s="4">
        <v>0.156438951115</v>
      </c>
      <c r="F141" s="4">
        <v>0.26244489868900001</v>
      </c>
      <c r="G141" s="2">
        <f t="shared" si="104"/>
        <v>5.6019444903931603</v>
      </c>
      <c r="H141" s="2">
        <f t="shared" si="105"/>
        <v>0.21559600557</v>
      </c>
      <c r="I141" s="2">
        <f t="shared" si="106"/>
        <v>0.69705894938827395</v>
      </c>
      <c r="J141" s="2">
        <f t="shared" si="107"/>
        <v>-0.19600533821361299</v>
      </c>
      <c r="K141" s="2">
        <f t="shared" si="108"/>
        <v>4.6019444903931603</v>
      </c>
      <c r="L141" s="2">
        <f t="shared" si="109"/>
        <v>1.7910406448812399</v>
      </c>
      <c r="M141" s="2">
        <f t="shared" si="110"/>
        <v>0.39960025843337199</v>
      </c>
      <c r="N141" s="2">
        <f t="shared" si="111"/>
        <v>0.37497849705283298</v>
      </c>
      <c r="O141" s="2">
        <f t="shared" si="112"/>
        <v>0.53291002529076403</v>
      </c>
      <c r="P141" s="2">
        <f t="shared" si="113"/>
        <v>0.38766367528430201</v>
      </c>
      <c r="Q141" s="2">
        <f t="shared" si="114"/>
        <v>0.77322401166573496</v>
      </c>
      <c r="R141" s="2">
        <f t="shared" si="115"/>
        <v>7.8192758620106897</v>
      </c>
      <c r="S141" s="2">
        <f t="shared" si="116"/>
        <v>0.58223014425259501</v>
      </c>
      <c r="T141" s="2">
        <f t="shared" si="117"/>
        <v>-3.1825042326339703E-2</v>
      </c>
      <c r="U141" s="2">
        <f t="shared" si="118"/>
        <v>0.43130380055603801</v>
      </c>
      <c r="V141" s="2">
        <f t="shared" si="119"/>
        <v>0.41093373286623502</v>
      </c>
      <c r="W141" s="2">
        <f t="shared" si="120"/>
        <v>0.2288810619194</v>
      </c>
      <c r="X141" s="2">
        <f t="shared" si="121"/>
        <v>0.420685551084931</v>
      </c>
      <c r="Y141" s="2">
        <f t="shared" si="122"/>
        <v>1.12837228416234</v>
      </c>
      <c r="Z141" s="2">
        <f t="shared" si="123"/>
        <v>1.7962968122162399</v>
      </c>
      <c r="AA141" s="2">
        <f t="shared" si="124"/>
        <v>3.2051034489741701</v>
      </c>
      <c r="AB141" s="2">
        <f t="shared" si="125"/>
        <v>0.14800436772930001</v>
      </c>
      <c r="AC141" s="2">
        <f t="shared" si="126"/>
        <v>1.6776186289824599</v>
      </c>
      <c r="AD141" s="2">
        <f t="shared" si="127"/>
        <v>0.106005947574</v>
      </c>
      <c r="AE141" s="2">
        <f t="shared" si="128"/>
        <v>0.25306764064454002</v>
      </c>
      <c r="AF141" s="2">
        <f t="shared" si="129"/>
        <v>0.16378850706579201</v>
      </c>
      <c r="AG141" s="5">
        <f t="shared" si="130"/>
        <v>0.17304572432622101</v>
      </c>
      <c r="AH141" s="2">
        <f t="shared" si="131"/>
        <v>51.737530508758603</v>
      </c>
      <c r="AI141" s="2">
        <f t="shared" si="132"/>
        <v>0.67761862898245795</v>
      </c>
      <c r="AJ141" s="2">
        <f t="shared" si="133"/>
        <v>0.41410547894634098</v>
      </c>
      <c r="AK141" s="2">
        <f t="shared" si="134"/>
        <v>0.199757759278095</v>
      </c>
      <c r="AL141" s="2">
        <f t="shared" si="135"/>
        <v>0.21242067683780499</v>
      </c>
      <c r="AM141" s="2">
        <f t="shared" si="136"/>
        <v>7.8192758620106897</v>
      </c>
      <c r="AN141" s="2">
        <f t="shared" si="137"/>
        <v>0.12287511434539999</v>
      </c>
      <c r="AO141" s="2">
        <f t="shared" si="138"/>
        <v>0.64670163903084099</v>
      </c>
      <c r="AP141" s="2">
        <f t="shared" si="139"/>
        <v>4.6609376689822497</v>
      </c>
      <c r="AQ141" s="2">
        <f t="shared" si="140"/>
        <v>0.109590057996</v>
      </c>
      <c r="AR141" s="2">
        <f t="shared" si="141"/>
        <v>0.53908810145014596</v>
      </c>
      <c r="AS141" s="2">
        <f t="shared" si="142"/>
        <v>0.86271291089926405</v>
      </c>
      <c r="AT141" s="2">
        <f t="shared" si="143"/>
        <v>0.10059179611244499</v>
      </c>
      <c r="AU141" s="2">
        <f t="shared" si="144"/>
        <v>0.33589854587669399</v>
      </c>
      <c r="AV141" s="2">
        <f t="shared" si="145"/>
        <v>7.41828011626713E-2</v>
      </c>
      <c r="AW141" s="2">
        <f t="shared" si="146"/>
        <v>0.58005578650761402</v>
      </c>
      <c r="AX141" s="2">
        <f t="shared" si="147"/>
        <v>-3.5841104220000002E-3</v>
      </c>
      <c r="AY141" s="5">
        <f t="shared" si="148"/>
        <v>1.0616201414041799</v>
      </c>
      <c r="AZ141" s="2">
        <f t="shared" si="149"/>
        <v>0.143273591922082</v>
      </c>
      <c r="BA141" s="2">
        <f t="shared" si="150"/>
        <v>0.614121440574799</v>
      </c>
      <c r="BB141" s="2">
        <f t="shared" si="151"/>
        <v>0.105499977377393</v>
      </c>
      <c r="BC141" s="2">
        <f t="shared" si="152"/>
        <v>0.65719057495889399</v>
      </c>
      <c r="BD141" s="2">
        <f t="shared" si="153"/>
        <v>8.7632762743636294E-2</v>
      </c>
      <c r="BE141" s="2">
        <f t="shared" si="154"/>
        <v>-1.83119259672E-2</v>
      </c>
      <c r="BF141" s="2">
        <f t="shared" si="155"/>
        <v>0.36305055815814002</v>
      </c>
    </row>
    <row r="142" spans="1:58" s="2" customFormat="1" x14ac:dyDescent="0.15">
      <c r="A142" s="3">
        <v>180.5</v>
      </c>
      <c r="B142" s="4">
        <v>2.4377478656099998E-2</v>
      </c>
      <c r="C142" s="4">
        <v>4.8114865150500001E-2</v>
      </c>
      <c r="D142" s="4">
        <v>3.8111816318299997E-2</v>
      </c>
      <c r="E142" s="4">
        <v>0.14846654845000001</v>
      </c>
      <c r="F142" s="4">
        <v>0.24116471507100001</v>
      </c>
      <c r="G142" s="2">
        <f t="shared" si="104"/>
        <v>5.0122704140737699</v>
      </c>
      <c r="H142" s="2">
        <f t="shared" si="105"/>
        <v>0.19304984992050001</v>
      </c>
      <c r="I142" s="2">
        <f t="shared" si="106"/>
        <v>0.66734696508022695</v>
      </c>
      <c r="J142" s="2">
        <f t="shared" si="107"/>
        <v>-0.248850706353754</v>
      </c>
      <c r="K142" s="2">
        <f t="shared" si="108"/>
        <v>4.0122704140737699</v>
      </c>
      <c r="L142" s="2">
        <f t="shared" si="109"/>
        <v>1.63633018792459</v>
      </c>
      <c r="M142" s="2">
        <f t="shared" si="110"/>
        <v>0.366884919028926</v>
      </c>
      <c r="N142" s="2">
        <f t="shared" si="111"/>
        <v>0.33715303822826698</v>
      </c>
      <c r="O142" s="2">
        <f t="shared" si="112"/>
        <v>0.498437578216611</v>
      </c>
      <c r="P142" s="2">
        <f t="shared" si="113"/>
        <v>0.358930677782826</v>
      </c>
      <c r="Q142" s="2">
        <f t="shared" si="114"/>
        <v>0.72706753318148498</v>
      </c>
      <c r="R142" s="2">
        <f t="shared" si="115"/>
        <v>6.32782004029551</v>
      </c>
      <c r="S142" s="2">
        <f t="shared" si="116"/>
        <v>0.53620292850197404</v>
      </c>
      <c r="T142" s="2">
        <f t="shared" si="117"/>
        <v>-0.13679096329796001</v>
      </c>
      <c r="U142" s="2">
        <f t="shared" si="118"/>
        <v>0.39084886540345798</v>
      </c>
      <c r="V142" s="2">
        <f t="shared" si="119"/>
        <v>0.36272140708303102</v>
      </c>
      <c r="W142" s="2">
        <f t="shared" si="120"/>
        <v>0.2030528987527</v>
      </c>
      <c r="X142" s="2">
        <f t="shared" si="121"/>
        <v>0.38423062111377299</v>
      </c>
      <c r="Y142" s="2">
        <f t="shared" si="122"/>
        <v>1.10773080357165</v>
      </c>
      <c r="Z142" s="2">
        <f t="shared" si="123"/>
        <v>1.5155158596787901</v>
      </c>
      <c r="AA142" s="2">
        <f t="shared" si="124"/>
        <v>3.1434039443589401</v>
      </c>
      <c r="AB142" s="2">
        <f t="shared" si="125"/>
        <v>0.13963826569464999</v>
      </c>
      <c r="AC142" s="2">
        <f t="shared" si="126"/>
        <v>1.6243707258555899</v>
      </c>
      <c r="AD142" s="2">
        <f t="shared" si="127"/>
        <v>9.2698166621E-2</v>
      </c>
      <c r="AE142" s="2">
        <f t="shared" si="128"/>
        <v>0.237912547836408</v>
      </c>
      <c r="AF142" s="2">
        <f t="shared" si="129"/>
        <v>0.14850608405235799</v>
      </c>
      <c r="AG142" s="5">
        <f t="shared" si="130"/>
        <v>0.15629762086055299</v>
      </c>
      <c r="AH142" s="2">
        <f t="shared" si="131"/>
        <v>48.512049515541797</v>
      </c>
      <c r="AI142" s="2">
        <f t="shared" si="132"/>
        <v>0.62437072585558595</v>
      </c>
      <c r="AJ142" s="2">
        <f t="shared" si="133"/>
        <v>0.38541617789445398</v>
      </c>
      <c r="AK142" s="2">
        <f t="shared" si="134"/>
        <v>0.17843120423966299</v>
      </c>
      <c r="AL142" s="2">
        <f t="shared" si="135"/>
        <v>0.19564002344319301</v>
      </c>
      <c r="AM142" s="2">
        <f t="shared" si="136"/>
        <v>6.32782004029551</v>
      </c>
      <c r="AN142" s="2">
        <f t="shared" si="137"/>
        <v>0.1103547321317</v>
      </c>
      <c r="AO142" s="2">
        <f t="shared" si="138"/>
        <v>0.59146585547977504</v>
      </c>
      <c r="AP142" s="2">
        <f t="shared" si="139"/>
        <v>3.8955516370578098</v>
      </c>
      <c r="AQ142" s="2">
        <f t="shared" si="140"/>
        <v>0.10035168329950001</v>
      </c>
      <c r="AR142" s="2">
        <f t="shared" si="141"/>
        <v>0.51048408626991804</v>
      </c>
      <c r="AS142" s="2">
        <f t="shared" si="142"/>
        <v>0.84000173649437804</v>
      </c>
      <c r="AT142" s="2">
        <f t="shared" si="143"/>
        <v>0.109914998669485</v>
      </c>
      <c r="AU142" s="2">
        <f t="shared" si="144"/>
        <v>0.33916130543650003</v>
      </c>
      <c r="AV142" s="2">
        <f t="shared" si="145"/>
        <v>8.9099784694631007E-2</v>
      </c>
      <c r="AW142" s="2">
        <f t="shared" si="146"/>
        <v>0.56380740317670097</v>
      </c>
      <c r="AX142" s="2">
        <f t="shared" si="147"/>
        <v>-7.6535166785000096E-3</v>
      </c>
      <c r="AY142" s="5">
        <f t="shared" si="148"/>
        <v>1.0518158850489601</v>
      </c>
      <c r="AZ142" s="2">
        <f t="shared" si="149"/>
        <v>0.13084810975619399</v>
      </c>
      <c r="BA142" s="2">
        <f t="shared" si="150"/>
        <v>0.64392266409984</v>
      </c>
      <c r="BB142" s="2">
        <f t="shared" si="151"/>
        <v>8.7859283231300905E-2</v>
      </c>
      <c r="BC142" s="2">
        <f t="shared" si="152"/>
        <v>0.59999133577365704</v>
      </c>
      <c r="BD142" s="2">
        <f t="shared" si="153"/>
        <v>8.01945891425975E-2</v>
      </c>
      <c r="BE142" s="2">
        <f t="shared" si="154"/>
        <v>-2.3063266012980001E-2</v>
      </c>
      <c r="BF142" s="2">
        <f t="shared" si="155"/>
        <v>0.35650502704812098</v>
      </c>
    </row>
    <row r="143" spans="1:58" s="2" customFormat="1" x14ac:dyDescent="0.15">
      <c r="A143" s="3">
        <v>185</v>
      </c>
      <c r="B143" s="4">
        <v>2.5371259476399999E-2</v>
      </c>
      <c r="C143" s="4">
        <v>4.8310213409999997E-2</v>
      </c>
      <c r="D143" s="4">
        <v>4.0230577013500003E-2</v>
      </c>
      <c r="E143" s="4">
        <v>0.14701991284999999</v>
      </c>
      <c r="F143" s="4">
        <v>0.231398806722</v>
      </c>
      <c r="G143" s="2">
        <f t="shared" si="104"/>
        <v>4.7898527120582202</v>
      </c>
      <c r="H143" s="2">
        <f t="shared" si="105"/>
        <v>0.183088593312</v>
      </c>
      <c r="I143" s="2">
        <f t="shared" si="106"/>
        <v>0.65456806943729196</v>
      </c>
      <c r="J143" s="2">
        <f t="shared" si="107"/>
        <v>-0.27001679386534899</v>
      </c>
      <c r="K143" s="2">
        <f t="shared" si="108"/>
        <v>3.7898527120582202</v>
      </c>
      <c r="L143" s="2">
        <f t="shared" si="109"/>
        <v>1.57502907058366</v>
      </c>
      <c r="M143" s="2">
        <f t="shared" si="110"/>
        <v>0.35222484654789099</v>
      </c>
      <c r="N143" s="2">
        <f t="shared" si="111"/>
        <v>0.320586163476487</v>
      </c>
      <c r="O143" s="2">
        <f t="shared" si="112"/>
        <v>0.483007531158135</v>
      </c>
      <c r="P143" s="2">
        <f t="shared" si="113"/>
        <v>0.34618484522033199</v>
      </c>
      <c r="Q143" s="2">
        <f t="shared" si="114"/>
        <v>0.70378332078627703</v>
      </c>
      <c r="R143" s="2">
        <f t="shared" si="115"/>
        <v>5.7518142641690302</v>
      </c>
      <c r="S143" s="2">
        <f t="shared" si="116"/>
        <v>0.51376285956877799</v>
      </c>
      <c r="T143" s="2">
        <f t="shared" si="117"/>
        <v>-0.183279518463979</v>
      </c>
      <c r="U143" s="2">
        <f t="shared" si="118"/>
        <v>0.371619265164017</v>
      </c>
      <c r="V143" s="2">
        <f t="shared" si="119"/>
        <v>0.34074838107604499</v>
      </c>
      <c r="W143" s="2">
        <f t="shared" si="120"/>
        <v>0.1911682297085</v>
      </c>
      <c r="X143" s="2">
        <f t="shared" si="121"/>
        <v>0.36679832542295199</v>
      </c>
      <c r="Y143" s="2">
        <f t="shared" si="122"/>
        <v>1.09717059784989</v>
      </c>
      <c r="Z143" s="2">
        <f t="shared" si="123"/>
        <v>1.3982940320505</v>
      </c>
      <c r="AA143" s="2">
        <f t="shared" si="124"/>
        <v>3.1161680092404</v>
      </c>
      <c r="AB143" s="2">
        <f t="shared" si="125"/>
        <v>0.13581469186775</v>
      </c>
      <c r="AC143" s="2">
        <f t="shared" si="126"/>
        <v>1.5739283355315901</v>
      </c>
      <c r="AD143" s="2">
        <f t="shared" si="127"/>
        <v>8.4378893871999996E-2</v>
      </c>
      <c r="AE143" s="2">
        <f t="shared" si="128"/>
        <v>0.22297758939471701</v>
      </c>
      <c r="AF143" s="2">
        <f t="shared" si="129"/>
        <v>0.137166330968541</v>
      </c>
      <c r="AG143" s="5">
        <f t="shared" si="130"/>
        <v>0.14408657054766399</v>
      </c>
      <c r="AH143" s="2">
        <f t="shared" si="131"/>
        <v>45.357461880086198</v>
      </c>
      <c r="AI143" s="2">
        <f t="shared" si="132"/>
        <v>0.57392833553159095</v>
      </c>
      <c r="AJ143" s="2">
        <f t="shared" si="133"/>
        <v>0.357733359839639</v>
      </c>
      <c r="AK143" s="2">
        <f t="shared" si="134"/>
        <v>0.164027373083274</v>
      </c>
      <c r="AL143" s="2">
        <f t="shared" si="135"/>
        <v>0.181790701796785</v>
      </c>
      <c r="AM143" s="2">
        <f t="shared" si="136"/>
        <v>5.7518142641690302</v>
      </c>
      <c r="AN143" s="2">
        <f t="shared" si="137"/>
        <v>0.10678933583649999</v>
      </c>
      <c r="AO143" s="2">
        <f t="shared" si="138"/>
        <v>0.57030203720346095</v>
      </c>
      <c r="AP143" s="2">
        <f t="shared" si="139"/>
        <v>3.6544321201424799</v>
      </c>
      <c r="AQ143" s="2">
        <f t="shared" si="140"/>
        <v>9.8709699440000007E-2</v>
      </c>
      <c r="AR143" s="2">
        <f t="shared" si="141"/>
        <v>0.50534805526419202</v>
      </c>
      <c r="AS143" s="2">
        <f t="shared" si="142"/>
        <v>0.79014344654403001</v>
      </c>
      <c r="AT143" s="2">
        <f t="shared" si="143"/>
        <v>0.11321054110956601</v>
      </c>
      <c r="AU143" s="2">
        <f t="shared" si="144"/>
        <v>0.34452764152319998</v>
      </c>
      <c r="AV143" s="2">
        <f t="shared" si="145"/>
        <v>9.6096129485037304E-2</v>
      </c>
      <c r="AW143" s="2">
        <f t="shared" si="146"/>
        <v>0.55272708830347195</v>
      </c>
      <c r="AX143" s="2">
        <f t="shared" si="147"/>
        <v>-1.4330805568E-2</v>
      </c>
      <c r="AY143" s="5">
        <f t="shared" si="148"/>
        <v>1.0441296546679499</v>
      </c>
      <c r="AZ143" s="2">
        <f t="shared" si="149"/>
        <v>0.120459248806429</v>
      </c>
      <c r="BA143" s="2">
        <f t="shared" si="150"/>
        <v>0.642300983885984</v>
      </c>
      <c r="BB143" s="2">
        <f t="shared" si="151"/>
        <v>7.51726670006784E-2</v>
      </c>
      <c r="BC143" s="2">
        <f t="shared" si="152"/>
        <v>0.57272647815417299</v>
      </c>
      <c r="BD143" s="2">
        <f t="shared" si="153"/>
        <v>7.2605625461027903E-2</v>
      </c>
      <c r="BE143" s="2">
        <f t="shared" si="154"/>
        <v>-3.2481523950720001E-2</v>
      </c>
      <c r="BF143" s="2">
        <f t="shared" si="155"/>
        <v>0.34064843643595799</v>
      </c>
    </row>
    <row r="144" spans="1:58" s="2" customFormat="1" x14ac:dyDescent="0.15">
      <c r="A144" s="3">
        <v>183.5</v>
      </c>
      <c r="B144" s="4">
        <v>2.3989787067200001E-2</v>
      </c>
      <c r="C144" s="4">
        <v>4.6737780793100002E-2</v>
      </c>
      <c r="D144" s="4">
        <v>3.73137416198E-2</v>
      </c>
      <c r="E144" s="4">
        <v>0.147512648281</v>
      </c>
      <c r="F144" s="4">
        <v>0.236441964202</v>
      </c>
      <c r="G144" s="2">
        <f t="shared" si="104"/>
        <v>5.0589043850560103</v>
      </c>
      <c r="H144" s="2">
        <f t="shared" si="105"/>
        <v>0.1897041834089</v>
      </c>
      <c r="I144" s="2">
        <f t="shared" si="106"/>
        <v>0.66990731774330303</v>
      </c>
      <c r="J144" s="2">
        <f t="shared" si="107"/>
        <v>-0.24450200311043599</v>
      </c>
      <c r="K144" s="2">
        <f t="shared" si="108"/>
        <v>4.0589043850560103</v>
      </c>
      <c r="L144" s="2">
        <f t="shared" si="109"/>
        <v>1.64896626695921</v>
      </c>
      <c r="M144" s="2">
        <f t="shared" si="110"/>
        <v>0.36333456902046202</v>
      </c>
      <c r="N144" s="2">
        <f t="shared" si="111"/>
        <v>0.332785674990622</v>
      </c>
      <c r="O144" s="2">
        <f t="shared" si="112"/>
        <v>0.49654086234639899</v>
      </c>
      <c r="P144" s="2">
        <f t="shared" si="113"/>
        <v>0.35648873849273199</v>
      </c>
      <c r="Q144" s="2">
        <f t="shared" si="114"/>
        <v>0.72739387105897102</v>
      </c>
      <c r="R144" s="2">
        <f t="shared" si="115"/>
        <v>6.3365922027110599</v>
      </c>
      <c r="S144" s="2">
        <f t="shared" si="116"/>
        <v>0.53253187242278999</v>
      </c>
      <c r="T144" s="2">
        <f t="shared" si="117"/>
        <v>-0.13611119740970901</v>
      </c>
      <c r="U144" s="2">
        <f t="shared" si="118"/>
        <v>0.38602924880025402</v>
      </c>
      <c r="V144" s="2">
        <f t="shared" si="119"/>
        <v>0.35684965464699903</v>
      </c>
      <c r="W144" s="2">
        <f t="shared" si="120"/>
        <v>0.1991282225822</v>
      </c>
      <c r="X144" s="2">
        <f t="shared" si="121"/>
        <v>0.38058461432532797</v>
      </c>
      <c r="Y144" s="2">
        <f t="shared" si="122"/>
        <v>1.10787809395211</v>
      </c>
      <c r="Z144" s="2">
        <f t="shared" si="123"/>
        <v>1.51725886684526</v>
      </c>
      <c r="AA144" s="2">
        <f t="shared" si="124"/>
        <v>3.14184032332561</v>
      </c>
      <c r="AB144" s="2">
        <f t="shared" si="125"/>
        <v>0.13687785291089999</v>
      </c>
      <c r="AC144" s="2">
        <f t="shared" si="126"/>
        <v>1.60285892062352</v>
      </c>
      <c r="AD144" s="2">
        <f t="shared" si="127"/>
        <v>8.8929315920999993E-2</v>
      </c>
      <c r="AE144" s="2">
        <f t="shared" si="128"/>
        <v>0.23161413622798299</v>
      </c>
      <c r="AF144" s="2">
        <f t="shared" si="129"/>
        <v>0.143517548377848</v>
      </c>
      <c r="AG144" s="5">
        <f t="shared" si="130"/>
        <v>0.150905908513561</v>
      </c>
      <c r="AH144" s="2">
        <f t="shared" si="131"/>
        <v>47.178886016202704</v>
      </c>
      <c r="AI144" s="2">
        <f t="shared" si="132"/>
        <v>0.60285892062351598</v>
      </c>
      <c r="AJ144" s="2">
        <f t="shared" si="133"/>
        <v>0.37367184556445998</v>
      </c>
      <c r="AK144" s="2">
        <f t="shared" si="134"/>
        <v>0.172398048735322</v>
      </c>
      <c r="AL144" s="2">
        <f t="shared" si="135"/>
        <v>0.18964451095923701</v>
      </c>
      <c r="AM144" s="2">
        <f t="shared" si="136"/>
        <v>6.3365922027110599</v>
      </c>
      <c r="AN144" s="2">
        <f t="shared" si="137"/>
        <v>0.1101989066612</v>
      </c>
      <c r="AO144" s="2">
        <f t="shared" si="138"/>
        <v>0.59622928695596999</v>
      </c>
      <c r="AP144" s="2">
        <f t="shared" si="139"/>
        <v>3.9533062586981198</v>
      </c>
      <c r="AQ144" s="2">
        <f t="shared" si="140"/>
        <v>0.1007748674879</v>
      </c>
      <c r="AR144" s="2">
        <f t="shared" si="141"/>
        <v>0.51878839067818905</v>
      </c>
      <c r="AS144" s="2">
        <f t="shared" si="142"/>
        <v>0.80698909467775304</v>
      </c>
      <c r="AT144" s="2">
        <f t="shared" si="143"/>
        <v>0.10851777631266001</v>
      </c>
      <c r="AU144" s="2">
        <f t="shared" si="144"/>
        <v>0.34250116924269802</v>
      </c>
      <c r="AV144" s="2">
        <f t="shared" si="145"/>
        <v>8.8574755868546698E-2</v>
      </c>
      <c r="AW144" s="2">
        <f t="shared" si="146"/>
        <v>0.561262107393669</v>
      </c>
      <c r="AX144" s="2">
        <f t="shared" si="147"/>
        <v>-1.18455515669E-2</v>
      </c>
      <c r="AY144" s="5">
        <f t="shared" si="148"/>
        <v>1.0496775506156699</v>
      </c>
      <c r="AZ144" s="2">
        <f t="shared" si="149"/>
        <v>0.12553655329063401</v>
      </c>
      <c r="BA144" s="2">
        <f t="shared" si="150"/>
        <v>0.62794503405343305</v>
      </c>
      <c r="BB144" s="2">
        <f t="shared" si="151"/>
        <v>8.1727338797610696E-2</v>
      </c>
      <c r="BC144" s="2">
        <f t="shared" si="152"/>
        <v>0.58692845090291601</v>
      </c>
      <c r="BD144" s="2">
        <f t="shared" si="153"/>
        <v>7.5283279014729407E-2</v>
      </c>
      <c r="BE144" s="2">
        <f t="shared" si="154"/>
        <v>-2.9150578354884001E-2</v>
      </c>
      <c r="BF144" s="2">
        <f t="shared" si="155"/>
        <v>0.34574056752837801</v>
      </c>
    </row>
    <row r="145" spans="1:58" s="2" customFormat="1" x14ac:dyDescent="0.15">
      <c r="A145" s="3">
        <v>188</v>
      </c>
      <c r="B145" s="4">
        <v>2.3872482148200001E-2</v>
      </c>
      <c r="C145" s="4">
        <v>5.0089983671699999E-2</v>
      </c>
      <c r="D145" s="4">
        <v>3.80754761622E-2</v>
      </c>
      <c r="E145" s="4">
        <v>0.158464721782</v>
      </c>
      <c r="F145" s="4">
        <v>0.24806291501399999</v>
      </c>
      <c r="G145" s="2">
        <f t="shared" si="104"/>
        <v>4.9523456952961897</v>
      </c>
      <c r="H145" s="2">
        <f t="shared" si="105"/>
        <v>0.19797293134230001</v>
      </c>
      <c r="I145" s="2">
        <f t="shared" si="106"/>
        <v>0.66399800979629098</v>
      </c>
      <c r="J145" s="2">
        <f t="shared" si="107"/>
        <v>-0.25448361583562301</v>
      </c>
      <c r="K145" s="2">
        <f t="shared" si="108"/>
        <v>3.9523456952961902</v>
      </c>
      <c r="L145" s="2">
        <f t="shared" si="109"/>
        <v>1.6199844677352999</v>
      </c>
      <c r="M145" s="2">
        <f t="shared" si="110"/>
        <v>0.372058282946095</v>
      </c>
      <c r="N145" s="2">
        <f t="shared" si="111"/>
        <v>0.34352334694352898</v>
      </c>
      <c r="O145" s="2">
        <f t="shared" si="112"/>
        <v>0.50124882111596203</v>
      </c>
      <c r="P145" s="2">
        <f t="shared" si="113"/>
        <v>0.36256534915077698</v>
      </c>
      <c r="Q145" s="2">
        <f t="shared" si="114"/>
        <v>0.73386670690579503</v>
      </c>
      <c r="R145" s="2">
        <f t="shared" si="115"/>
        <v>6.5150311963864098</v>
      </c>
      <c r="S145" s="2">
        <f t="shared" si="116"/>
        <v>0.54598625423357705</v>
      </c>
      <c r="T145" s="2">
        <f t="shared" si="117"/>
        <v>-0.122458074982434</v>
      </c>
      <c r="U145" s="2">
        <f t="shared" si="118"/>
        <v>0.40066884127924801</v>
      </c>
      <c r="V145" s="2">
        <f t="shared" si="119"/>
        <v>0.37440097272439099</v>
      </c>
      <c r="W145" s="2">
        <f t="shared" si="120"/>
        <v>0.20998743885179999</v>
      </c>
      <c r="X145" s="2">
        <f t="shared" si="121"/>
        <v>0.39255928245521399</v>
      </c>
      <c r="Y145" s="2">
        <f t="shared" si="122"/>
        <v>1.11079552884669</v>
      </c>
      <c r="Z145" s="2">
        <f t="shared" si="123"/>
        <v>1.5524559146802901</v>
      </c>
      <c r="AA145" s="2">
        <f t="shared" si="124"/>
        <v>3.1536639913169502</v>
      </c>
      <c r="AB145" s="2">
        <f t="shared" si="125"/>
        <v>0.1430691955881</v>
      </c>
      <c r="AC145" s="2">
        <f t="shared" si="126"/>
        <v>1.5654141327131501</v>
      </c>
      <c r="AD145" s="2">
        <f t="shared" si="127"/>
        <v>8.9598193231999995E-2</v>
      </c>
      <c r="AE145" s="2">
        <f t="shared" si="128"/>
        <v>0.22039877519314</v>
      </c>
      <c r="AF145" s="2">
        <f t="shared" si="129"/>
        <v>0.14052520075719899</v>
      </c>
      <c r="AG145" s="5">
        <f t="shared" si="130"/>
        <v>0.14825503866932199</v>
      </c>
      <c r="AH145" s="2">
        <f t="shared" si="131"/>
        <v>44.815041052795998</v>
      </c>
      <c r="AI145" s="2">
        <f t="shared" si="132"/>
        <v>0.565414132713149</v>
      </c>
      <c r="AJ145" s="2">
        <f t="shared" si="133"/>
        <v>0.35301073967638602</v>
      </c>
      <c r="AK145" s="2">
        <f t="shared" si="134"/>
        <v>0.17095881762868501</v>
      </c>
      <c r="AL145" s="2">
        <f t="shared" si="135"/>
        <v>0.18345778281341901</v>
      </c>
      <c r="AM145" s="2">
        <f t="shared" si="136"/>
        <v>6.5150311963864098</v>
      </c>
      <c r="AN145" s="2">
        <f t="shared" si="137"/>
        <v>0.12038924561979999</v>
      </c>
      <c r="AO145" s="2">
        <f t="shared" si="138"/>
        <v>0.612542608988213</v>
      </c>
      <c r="AP145" s="2">
        <f t="shared" si="139"/>
        <v>4.1618579136593503</v>
      </c>
      <c r="AQ145" s="2">
        <f t="shared" si="140"/>
        <v>0.1083747381103</v>
      </c>
      <c r="AR145" s="2">
        <f t="shared" si="141"/>
        <v>0.51964657366294498</v>
      </c>
      <c r="AS145" s="2">
        <f t="shared" si="142"/>
        <v>0.74423751698685003</v>
      </c>
      <c r="AT145" s="2">
        <f t="shared" si="143"/>
        <v>0.109697877231269</v>
      </c>
      <c r="AU145" s="2">
        <f t="shared" si="144"/>
        <v>0.347040312679325</v>
      </c>
      <c r="AV145" s="2">
        <f t="shared" si="145"/>
        <v>8.56392477975738E-2</v>
      </c>
      <c r="AW145" s="2">
        <f t="shared" si="146"/>
        <v>0.55794237103625899</v>
      </c>
      <c r="AX145" s="2">
        <f t="shared" si="147"/>
        <v>-1.8776544878300001E-2</v>
      </c>
      <c r="AY145" s="5">
        <f t="shared" si="148"/>
        <v>1.06068762748543</v>
      </c>
      <c r="AZ145" s="2">
        <f t="shared" si="149"/>
        <v>0.122860018915805</v>
      </c>
      <c r="BA145" s="2">
        <f t="shared" si="150"/>
        <v>0.61948622267800102</v>
      </c>
      <c r="BB145" s="2">
        <f t="shared" si="151"/>
        <v>7.8276353027359094E-2</v>
      </c>
      <c r="BC145" s="2">
        <f t="shared" si="152"/>
        <v>0.61472082938357298</v>
      </c>
      <c r="BD145" s="2">
        <f t="shared" si="153"/>
        <v>7.1564197013492398E-2</v>
      </c>
      <c r="BE145" s="2">
        <f t="shared" si="154"/>
        <v>-4.0043193197987999E-2</v>
      </c>
      <c r="BF145" s="2">
        <f t="shared" si="155"/>
        <v>0.33192686113736403</v>
      </c>
    </row>
    <row r="146" spans="1:58" s="2" customFormat="1" x14ac:dyDescent="0.15">
      <c r="A146" s="3">
        <v>167</v>
      </c>
      <c r="B146" s="4">
        <v>3.0078680206100002E-2</v>
      </c>
      <c r="C146" s="4">
        <v>5.1712603420299999E-2</v>
      </c>
      <c r="D146" s="4">
        <v>5.5371529319299999E-2</v>
      </c>
      <c r="E146" s="4">
        <v>0.124038249162</v>
      </c>
      <c r="F146" s="4">
        <v>0.17196299198100001</v>
      </c>
      <c r="G146" s="2">
        <f t="shared" si="104"/>
        <v>3.3253594019112001</v>
      </c>
      <c r="H146" s="2">
        <f t="shared" si="105"/>
        <v>0.1202503885607</v>
      </c>
      <c r="I146" s="2">
        <f t="shared" si="106"/>
        <v>0.537610678290391</v>
      </c>
      <c r="J146" s="2">
        <f t="shared" si="107"/>
        <v>-0.42954849614338803</v>
      </c>
      <c r="K146" s="2">
        <f t="shared" si="108"/>
        <v>2.3253594019112001</v>
      </c>
      <c r="L146" s="2">
        <f t="shared" si="109"/>
        <v>1.11809572279408</v>
      </c>
      <c r="M146" s="2">
        <f t="shared" si="110"/>
        <v>0.24924922712230799</v>
      </c>
      <c r="N146" s="2">
        <f t="shared" si="111"/>
        <v>0.21257918134913001</v>
      </c>
      <c r="O146" s="2">
        <f t="shared" si="112"/>
        <v>0.363563521898009</v>
      </c>
      <c r="P146" s="2">
        <f t="shared" si="113"/>
        <v>0.254259499249883</v>
      </c>
      <c r="Q146" s="2">
        <f t="shared" si="114"/>
        <v>0.51286299148419801</v>
      </c>
      <c r="R146" s="2">
        <f t="shared" si="115"/>
        <v>3.1056211395097102</v>
      </c>
      <c r="S146" s="2">
        <f t="shared" si="116"/>
        <v>0.34917129574081002</v>
      </c>
      <c r="T146" s="2">
        <f t="shared" si="117"/>
        <v>-0.457009616240244</v>
      </c>
      <c r="U146" s="2">
        <f t="shared" si="118"/>
        <v>0.24044946152135599</v>
      </c>
      <c r="V146" s="2">
        <f t="shared" si="119"/>
        <v>0.20468220137576101</v>
      </c>
      <c r="W146" s="2">
        <f t="shared" si="120"/>
        <v>0.11659146266169999</v>
      </c>
      <c r="X146" s="2">
        <f t="shared" si="121"/>
        <v>0.244531074348839</v>
      </c>
      <c r="Y146" s="2">
        <f t="shared" si="122"/>
        <v>1.00641094563016</v>
      </c>
      <c r="Z146" s="2">
        <f t="shared" si="123"/>
        <v>0.76227725954507897</v>
      </c>
      <c r="AA146" s="2">
        <f t="shared" si="124"/>
        <v>2.9540214590181502</v>
      </c>
      <c r="AB146" s="2">
        <f t="shared" si="125"/>
        <v>0.11366726065015</v>
      </c>
      <c r="AC146" s="2">
        <f t="shared" si="126"/>
        <v>1.3863706811631</v>
      </c>
      <c r="AD146" s="2">
        <f t="shared" si="127"/>
        <v>4.7924742818999999E-2</v>
      </c>
      <c r="AE146" s="2">
        <f t="shared" si="128"/>
        <v>0.16190723604380899</v>
      </c>
      <c r="AF146" s="2">
        <f t="shared" si="129"/>
        <v>8.8087244524588507E-2</v>
      </c>
      <c r="AG146" s="5">
        <f t="shared" si="130"/>
        <v>9.0310304196605698E-2</v>
      </c>
      <c r="AH146" s="2">
        <f t="shared" si="131"/>
        <v>32.668931173683298</v>
      </c>
      <c r="AI146" s="2">
        <f t="shared" si="132"/>
        <v>0.38637068116309797</v>
      </c>
      <c r="AJ146" s="2">
        <f t="shared" si="133"/>
        <v>0.25011239288664</v>
      </c>
      <c r="AK146" s="2">
        <f t="shared" si="134"/>
        <v>9.8836384254088597E-2</v>
      </c>
      <c r="AL146" s="2">
        <f t="shared" si="135"/>
        <v>0.12191348762712299</v>
      </c>
      <c r="AM146" s="2">
        <f t="shared" si="136"/>
        <v>3.1056211395097102</v>
      </c>
      <c r="AN146" s="2">
        <f t="shared" si="137"/>
        <v>6.8666719842699994E-2</v>
      </c>
      <c r="AO146" s="2">
        <f t="shared" si="138"/>
        <v>0.38273677401512002</v>
      </c>
      <c r="AP146" s="2">
        <f t="shared" si="139"/>
        <v>2.2401087831028299</v>
      </c>
      <c r="AQ146" s="2">
        <f t="shared" si="140"/>
        <v>7.2325645741700001E-2</v>
      </c>
      <c r="AR146" s="2">
        <f t="shared" si="141"/>
        <v>0.41152372622392602</v>
      </c>
      <c r="AS146" s="2">
        <f t="shared" si="142"/>
        <v>0.69793260736474405</v>
      </c>
      <c r="AT146" s="2">
        <f t="shared" si="143"/>
        <v>0.14872172687068799</v>
      </c>
      <c r="AU146" s="2">
        <f t="shared" si="144"/>
        <v>0.356725080411399</v>
      </c>
      <c r="AV146" s="2">
        <f t="shared" si="145"/>
        <v>0.15758628435108299</v>
      </c>
      <c r="AW146" s="2">
        <f t="shared" si="146"/>
        <v>0.48940329597751397</v>
      </c>
      <c r="AX146" s="2">
        <f t="shared" si="147"/>
        <v>-2.4400902922699998E-2</v>
      </c>
      <c r="AY146" s="5">
        <f t="shared" si="148"/>
        <v>0.96957244011604105</v>
      </c>
      <c r="AZ146" s="2">
        <f t="shared" si="149"/>
        <v>7.8393049280171906E-2</v>
      </c>
      <c r="BA146" s="2">
        <f t="shared" si="150"/>
        <v>0.78592307816421703</v>
      </c>
      <c r="BB146" s="2">
        <f t="shared" si="151"/>
        <v>3.30991357267384E-2</v>
      </c>
      <c r="BC146" s="2">
        <f t="shared" si="152"/>
        <v>0.41513340161184697</v>
      </c>
      <c r="BD146" s="2">
        <f t="shared" si="153"/>
        <v>4.6790837152138297E-2</v>
      </c>
      <c r="BE146" s="2">
        <f t="shared" si="154"/>
        <v>-4.3816377697691998E-2</v>
      </c>
      <c r="BF146" s="2">
        <f t="shared" si="155"/>
        <v>0.30116075178914897</v>
      </c>
    </row>
    <row r="147" spans="1:58" s="2" customFormat="1" x14ac:dyDescent="0.15">
      <c r="A147" s="3">
        <v>174.5</v>
      </c>
      <c r="B147" s="4">
        <v>2.8126685880200002E-2</v>
      </c>
      <c r="C147" s="4">
        <v>4.9591593113600001E-2</v>
      </c>
      <c r="D147" s="4">
        <v>5.0276570374399997E-2</v>
      </c>
      <c r="E147" s="4">
        <v>0.12667461108700001</v>
      </c>
      <c r="F147" s="4">
        <v>0.18071952735999999</v>
      </c>
      <c r="G147" s="2">
        <f t="shared" si="104"/>
        <v>3.6441565195541101</v>
      </c>
      <c r="H147" s="2">
        <f t="shared" si="105"/>
        <v>0.13112793424640001</v>
      </c>
      <c r="I147" s="2">
        <f t="shared" si="106"/>
        <v>0.56935129305417498</v>
      </c>
      <c r="J147" s="2">
        <f t="shared" si="107"/>
        <v>-0.39149912639239698</v>
      </c>
      <c r="K147" s="2">
        <f t="shared" si="108"/>
        <v>2.6441565195541101</v>
      </c>
      <c r="L147" s="2">
        <f t="shared" si="109"/>
        <v>1.22696941015078</v>
      </c>
      <c r="M147" s="2">
        <f t="shared" si="110"/>
        <v>0.26932617600297099</v>
      </c>
      <c r="N147" s="2">
        <f t="shared" si="111"/>
        <v>0.23225190708355001</v>
      </c>
      <c r="O147" s="2">
        <f t="shared" si="112"/>
        <v>0.38971065836212099</v>
      </c>
      <c r="P147" s="2">
        <f t="shared" si="113"/>
        <v>0.27323590342177001</v>
      </c>
      <c r="Q147" s="2">
        <f t="shared" si="114"/>
        <v>0.56469766487390505</v>
      </c>
      <c r="R147" s="2">
        <f t="shared" si="115"/>
        <v>3.5945078595102302</v>
      </c>
      <c r="S147" s="2">
        <f t="shared" si="116"/>
        <v>0.386995755149664</v>
      </c>
      <c r="T147" s="2">
        <f t="shared" si="117"/>
        <v>-0.39729112730527399</v>
      </c>
      <c r="U147" s="2">
        <f t="shared" si="118"/>
        <v>0.267668235281733</v>
      </c>
      <c r="V147" s="2">
        <f t="shared" si="119"/>
        <v>0.230727126359692</v>
      </c>
      <c r="W147" s="2">
        <f t="shared" si="120"/>
        <v>0.13044295698559999</v>
      </c>
      <c r="X147" s="2">
        <f t="shared" si="121"/>
        <v>0.27140529325902202</v>
      </c>
      <c r="Y147" s="2">
        <f t="shared" si="122"/>
        <v>1.0318418797829001</v>
      </c>
      <c r="Z147" s="2">
        <f t="shared" si="123"/>
        <v>0.89591873758086704</v>
      </c>
      <c r="AA147" s="2">
        <f t="shared" si="124"/>
        <v>2.9930571061018698</v>
      </c>
      <c r="AB147" s="2">
        <f t="shared" si="125"/>
        <v>0.1154980488672</v>
      </c>
      <c r="AC147" s="2">
        <f t="shared" si="126"/>
        <v>1.4266436329209</v>
      </c>
      <c r="AD147" s="2">
        <f t="shared" si="127"/>
        <v>5.4044916273000003E-2</v>
      </c>
      <c r="AE147" s="2">
        <f t="shared" si="128"/>
        <v>0.175816352732172</v>
      </c>
      <c r="AF147" s="2">
        <f t="shared" si="129"/>
        <v>9.7478100426888106E-2</v>
      </c>
      <c r="AG147" s="5">
        <f t="shared" si="130"/>
        <v>0.100406196365793</v>
      </c>
      <c r="AH147" s="2">
        <f t="shared" si="131"/>
        <v>35.532457564636097</v>
      </c>
      <c r="AI147" s="2">
        <f t="shared" si="132"/>
        <v>0.42664363292090102</v>
      </c>
      <c r="AJ147" s="2">
        <f t="shared" si="133"/>
        <v>0.27388122874077497</v>
      </c>
      <c r="AK147" s="2">
        <f t="shared" si="134"/>
        <v>0.110899873009931</v>
      </c>
      <c r="AL147" s="2">
        <f t="shared" si="135"/>
        <v>0.13413112771372299</v>
      </c>
      <c r="AM147" s="2">
        <f t="shared" si="136"/>
        <v>3.5945078595102302</v>
      </c>
      <c r="AN147" s="2">
        <f t="shared" si="137"/>
        <v>7.6398040712599993E-2</v>
      </c>
      <c r="AO147" s="2">
        <f t="shared" si="138"/>
        <v>0.43174642905261101</v>
      </c>
      <c r="AP147" s="2">
        <f t="shared" si="139"/>
        <v>2.5195555333961401</v>
      </c>
      <c r="AQ147" s="2">
        <f t="shared" si="140"/>
        <v>7.7083017973400003E-2</v>
      </c>
      <c r="AR147" s="2">
        <f t="shared" si="141"/>
        <v>0.437310250838984</v>
      </c>
      <c r="AS147" s="2">
        <f t="shared" si="142"/>
        <v>0.70741233373130996</v>
      </c>
      <c r="AT147" s="2">
        <f t="shared" si="143"/>
        <v>0.13891757773288399</v>
      </c>
      <c r="AU147" s="2">
        <f t="shared" si="144"/>
        <v>0.354845025691164</v>
      </c>
      <c r="AV147" s="2">
        <f t="shared" si="145"/>
        <v>0.140566641702564</v>
      </c>
      <c r="AW147" s="2">
        <f t="shared" si="146"/>
        <v>0.505267898384826</v>
      </c>
      <c r="AX147" s="2">
        <f t="shared" si="147"/>
        <v>-2.30381017004E-2</v>
      </c>
      <c r="AY147" s="5">
        <f t="shared" si="148"/>
        <v>0.99477626743121805</v>
      </c>
      <c r="AZ147" s="2">
        <f t="shared" si="149"/>
        <v>8.6122951203592299E-2</v>
      </c>
      <c r="BA147" s="2">
        <f t="shared" si="150"/>
        <v>0.73592719723236799</v>
      </c>
      <c r="BB147" s="2">
        <f t="shared" si="151"/>
        <v>3.9688269194479202E-2</v>
      </c>
      <c r="BC147" s="2">
        <f t="shared" si="152"/>
        <v>0.43860097006937498</v>
      </c>
      <c r="BD147" s="2">
        <f t="shared" si="153"/>
        <v>5.0477380393271203E-2</v>
      </c>
      <c r="BE147" s="2">
        <f t="shared" si="154"/>
        <v>-4.2424828605383998E-2</v>
      </c>
      <c r="BF147" s="2">
        <f t="shared" si="155"/>
        <v>0.30880118281463698</v>
      </c>
    </row>
    <row r="148" spans="1:58" s="2" customFormat="1" x14ac:dyDescent="0.15">
      <c r="A148" s="3">
        <v>183</v>
      </c>
      <c r="B148" s="4">
        <v>2.8246715238E-2</v>
      </c>
      <c r="C148" s="4">
        <v>4.9452903216099998E-2</v>
      </c>
      <c r="D148" s="4">
        <v>5.0576306585299997E-2</v>
      </c>
      <c r="E148" s="4">
        <v>0.123469429514</v>
      </c>
      <c r="F148" s="4">
        <v>0.176172424459</v>
      </c>
      <c r="G148" s="2">
        <f t="shared" si="104"/>
        <v>3.5624283510547201</v>
      </c>
      <c r="H148" s="2">
        <f t="shared" si="105"/>
        <v>0.12671952124290001</v>
      </c>
      <c r="I148" s="2">
        <f t="shared" si="106"/>
        <v>0.56163695161642402</v>
      </c>
      <c r="J148" s="2">
        <f t="shared" si="107"/>
        <v>-0.401059226710966</v>
      </c>
      <c r="K148" s="2">
        <f t="shared" si="108"/>
        <v>2.5624283510547201</v>
      </c>
      <c r="L148" s="2">
        <f t="shared" si="109"/>
        <v>1.19964763485862</v>
      </c>
      <c r="M148" s="2">
        <f t="shared" si="110"/>
        <v>0.26195238040183</v>
      </c>
      <c r="N148" s="2">
        <f t="shared" si="111"/>
        <v>0.22476340249226801</v>
      </c>
      <c r="O148" s="2">
        <f t="shared" si="112"/>
        <v>0.38118514032255402</v>
      </c>
      <c r="P148" s="2">
        <f t="shared" si="113"/>
        <v>0.26677774573819901</v>
      </c>
      <c r="Q148" s="2">
        <f t="shared" si="114"/>
        <v>0.55389998124912199</v>
      </c>
      <c r="R148" s="2">
        <f t="shared" si="115"/>
        <v>3.4832995201394299</v>
      </c>
      <c r="S148" s="2">
        <f t="shared" si="116"/>
        <v>0.37670840274018602</v>
      </c>
      <c r="T148" s="2">
        <f t="shared" si="117"/>
        <v>-0.41044127149711201</v>
      </c>
      <c r="U148" s="2">
        <f t="shared" si="118"/>
        <v>0.25922876609614098</v>
      </c>
      <c r="V148" s="2">
        <f t="shared" si="119"/>
        <v>0.222281565494687</v>
      </c>
      <c r="W148" s="2">
        <f t="shared" si="120"/>
        <v>0.12559611787370001</v>
      </c>
      <c r="X148" s="2">
        <f t="shared" si="121"/>
        <v>0.26375687163599199</v>
      </c>
      <c r="Y148" s="2">
        <f t="shared" si="122"/>
        <v>1.0265963088035699</v>
      </c>
      <c r="Z148" s="2">
        <f t="shared" si="123"/>
        <v>0.86635996531736204</v>
      </c>
      <c r="AA148" s="2">
        <f t="shared" si="124"/>
        <v>2.9865641439381601</v>
      </c>
      <c r="AB148" s="2">
        <f t="shared" si="125"/>
        <v>0.11337436552214999</v>
      </c>
      <c r="AC148" s="2">
        <f t="shared" si="126"/>
        <v>1.42685055849411</v>
      </c>
      <c r="AD148" s="2">
        <f t="shared" si="127"/>
        <v>5.2702994944999998E-2</v>
      </c>
      <c r="AE148" s="2">
        <f t="shared" si="128"/>
        <v>0.175886626805309</v>
      </c>
      <c r="AF148" s="2">
        <f t="shared" si="129"/>
        <v>9.6279551325363505E-2</v>
      </c>
      <c r="AG148" s="5">
        <f t="shared" si="130"/>
        <v>9.8862374480174806E-2</v>
      </c>
      <c r="AH148" s="2">
        <f t="shared" si="131"/>
        <v>35.5469608759933</v>
      </c>
      <c r="AI148" s="2">
        <f t="shared" si="132"/>
        <v>0.42685055849411002</v>
      </c>
      <c r="AJ148" s="2">
        <f t="shared" si="133"/>
        <v>0.27400238116390702</v>
      </c>
      <c r="AK148" s="2">
        <f t="shared" si="134"/>
        <v>0.10877830127601699</v>
      </c>
      <c r="AL148" s="2">
        <f t="shared" si="135"/>
        <v>0.13300676082424601</v>
      </c>
      <c r="AM148" s="2">
        <f t="shared" si="136"/>
        <v>3.4832995201394299</v>
      </c>
      <c r="AN148" s="2">
        <f t="shared" si="137"/>
        <v>7.2893122928699997E-2</v>
      </c>
      <c r="AO148" s="2">
        <f t="shared" si="138"/>
        <v>0.41881590760207799</v>
      </c>
      <c r="AP148" s="2">
        <f t="shared" si="139"/>
        <v>2.4412504164526401</v>
      </c>
      <c r="AQ148" s="2">
        <f t="shared" si="140"/>
        <v>7.4016526297899995E-2</v>
      </c>
      <c r="AR148" s="2">
        <f t="shared" si="141"/>
        <v>0.428033355375943</v>
      </c>
      <c r="AS148" s="2">
        <f t="shared" si="142"/>
        <v>0.72301738253896897</v>
      </c>
      <c r="AT148" s="2">
        <f t="shared" si="143"/>
        <v>0.14166040078714801</v>
      </c>
      <c r="AU148" s="2">
        <f t="shared" si="144"/>
        <v>0.35368457122694102</v>
      </c>
      <c r="AV148" s="2">
        <f t="shared" si="145"/>
        <v>0.14441371773717801</v>
      </c>
      <c r="AW148" s="2">
        <f t="shared" si="146"/>
        <v>0.50303623369546202</v>
      </c>
      <c r="AX148" s="2">
        <f t="shared" si="147"/>
        <v>-2.1313531352900001E-2</v>
      </c>
      <c r="AY148" s="5">
        <f t="shared" si="148"/>
        <v>0.99113472527214996</v>
      </c>
      <c r="AZ148" s="2">
        <f t="shared" si="149"/>
        <v>8.5219681611216097E-2</v>
      </c>
      <c r="BA148" s="2">
        <f t="shared" si="150"/>
        <v>0.75526445416528998</v>
      </c>
      <c r="BB148" s="2">
        <f t="shared" si="151"/>
        <v>3.9037333840077897E-2</v>
      </c>
      <c r="BC148" s="2">
        <f t="shared" si="152"/>
        <v>0.42733986939228102</v>
      </c>
      <c r="BD148" s="2">
        <f t="shared" si="153"/>
        <v>5.0584850275331501E-2</v>
      </c>
      <c r="BE148" s="2">
        <f t="shared" si="154"/>
        <v>-3.9573468303923998E-2</v>
      </c>
      <c r="BF148" s="2">
        <f t="shared" si="155"/>
        <v>0.31316783252792901</v>
      </c>
    </row>
    <row r="149" spans="1:58" s="2" customFormat="1" x14ac:dyDescent="0.15">
      <c r="A149" s="8">
        <v>199.5</v>
      </c>
      <c r="B149" s="4">
        <v>2.3622016518699999E-2</v>
      </c>
      <c r="C149" s="4">
        <v>4.8223110418200002E-2</v>
      </c>
      <c r="D149" s="4">
        <v>3.7249243158899999E-2</v>
      </c>
      <c r="E149" s="4">
        <v>0.146588384052</v>
      </c>
      <c r="F149" s="4">
        <v>0.22856451432899999</v>
      </c>
      <c r="G149" s="2">
        <f t="shared" si="104"/>
        <v>4.73972981723586</v>
      </c>
      <c r="H149" s="2">
        <f t="shared" si="105"/>
        <v>0.1803414039108</v>
      </c>
      <c r="I149" s="2">
        <f t="shared" si="106"/>
        <v>0.65155154272345905</v>
      </c>
      <c r="J149" s="2">
        <f t="shared" si="107"/>
        <v>-0.27488611312498701</v>
      </c>
      <c r="K149" s="2">
        <f t="shared" si="108"/>
        <v>3.73972981723586</v>
      </c>
      <c r="L149" s="2">
        <f t="shared" si="109"/>
        <v>1.5609698048934</v>
      </c>
      <c r="M149" s="2">
        <f t="shared" si="110"/>
        <v>0.34824461313249699</v>
      </c>
      <c r="N149" s="2">
        <f t="shared" si="111"/>
        <v>0.31610428143635899</v>
      </c>
      <c r="O149" s="2">
        <f t="shared" si="112"/>
        <v>0.47894220596933001</v>
      </c>
      <c r="P149" s="2">
        <f t="shared" si="113"/>
        <v>0.34278523879390699</v>
      </c>
      <c r="Q149" s="2">
        <f t="shared" si="114"/>
        <v>0.71973427176284799</v>
      </c>
      <c r="R149" s="2">
        <f t="shared" si="115"/>
        <v>6.1360847884606997</v>
      </c>
      <c r="S149" s="2">
        <f t="shared" si="116"/>
        <v>0.52118023585375195</v>
      </c>
      <c r="T149" s="2">
        <f t="shared" si="117"/>
        <v>-0.15185465831297701</v>
      </c>
      <c r="U149" s="2">
        <f t="shared" si="118"/>
        <v>0.374729369835961</v>
      </c>
      <c r="V149" s="2">
        <f t="shared" si="119"/>
        <v>0.34362853367864299</v>
      </c>
      <c r="W149" s="2">
        <f t="shared" si="120"/>
        <v>0.1913152711701</v>
      </c>
      <c r="X149" s="2">
        <f t="shared" si="121"/>
        <v>0.37107432863608802</v>
      </c>
      <c r="Y149" s="2">
        <f t="shared" si="122"/>
        <v>1.10441580564697</v>
      </c>
      <c r="Z149" s="2">
        <f t="shared" si="123"/>
        <v>1.4771121872980799</v>
      </c>
      <c r="AA149" s="2">
        <f t="shared" si="124"/>
        <v>3.1313553389298598</v>
      </c>
      <c r="AB149" s="2">
        <f t="shared" si="125"/>
        <v>0.13290687874394999</v>
      </c>
      <c r="AC149" s="2">
        <f t="shared" si="126"/>
        <v>1.5592266454613499</v>
      </c>
      <c r="AD149" s="2">
        <f t="shared" si="127"/>
        <v>8.1976130277000001E-2</v>
      </c>
      <c r="AE149" s="2">
        <f t="shared" si="128"/>
        <v>0.21851391960657601</v>
      </c>
      <c r="AF149" s="2">
        <f t="shared" si="129"/>
        <v>0.13383917790022001</v>
      </c>
      <c r="AG149" s="5">
        <f t="shared" si="130"/>
        <v>0.14050595689390899</v>
      </c>
      <c r="AH149" s="2">
        <f t="shared" si="131"/>
        <v>44.418995825282401</v>
      </c>
      <c r="AI149" s="2">
        <f t="shared" si="132"/>
        <v>0.55922664546135004</v>
      </c>
      <c r="AJ149" s="2">
        <f t="shared" si="133"/>
        <v>0.34956945840304299</v>
      </c>
      <c r="AK149" s="2">
        <f t="shared" si="134"/>
        <v>0.16056670987324601</v>
      </c>
      <c r="AL149" s="2">
        <f t="shared" si="135"/>
        <v>0.177691854811967</v>
      </c>
      <c r="AM149" s="2">
        <f t="shared" si="136"/>
        <v>6.1360847884606997</v>
      </c>
      <c r="AN149" s="2">
        <f t="shared" si="137"/>
        <v>0.1093391408931</v>
      </c>
      <c r="AO149" s="2">
        <f t="shared" si="138"/>
        <v>0.59475931316098496</v>
      </c>
      <c r="AP149" s="2">
        <f t="shared" si="139"/>
        <v>3.93533859001308</v>
      </c>
      <c r="AQ149" s="2">
        <f t="shared" si="140"/>
        <v>9.8365273633800002E-2</v>
      </c>
      <c r="AR149" s="2">
        <f t="shared" si="141"/>
        <v>0.50492540956738496</v>
      </c>
      <c r="AS149" s="2">
        <f t="shared" si="142"/>
        <v>0.74974185463142995</v>
      </c>
      <c r="AT149" s="2">
        <f t="shared" si="143"/>
        <v>0.113901377064262</v>
      </c>
      <c r="AU149" s="2">
        <f t="shared" si="144"/>
        <v>0.34623686984002999</v>
      </c>
      <c r="AV149" s="2">
        <f t="shared" si="145"/>
        <v>9.0322623010181693E-2</v>
      </c>
      <c r="AW149" s="2">
        <f t="shared" si="146"/>
        <v>0.55422727310664599</v>
      </c>
      <c r="AX149" s="2">
        <f t="shared" si="147"/>
        <v>-1.6389143356800001E-2</v>
      </c>
      <c r="AY149" s="5">
        <f t="shared" si="148"/>
        <v>1.0608505147532701</v>
      </c>
      <c r="AZ149" s="2">
        <f t="shared" si="149"/>
        <v>0.117348719542668</v>
      </c>
      <c r="BA149" s="2">
        <f t="shared" si="150"/>
        <v>0.64017967809489595</v>
      </c>
      <c r="BB149" s="2">
        <f t="shared" si="151"/>
        <v>7.15807421681839E-2</v>
      </c>
      <c r="BC149" s="2">
        <f t="shared" si="152"/>
        <v>0.56482687981856095</v>
      </c>
      <c r="BD149" s="2">
        <f t="shared" si="153"/>
        <v>6.6946069735749805E-2</v>
      </c>
      <c r="BE149" s="2">
        <f t="shared" si="154"/>
        <v>-3.5404199269848002E-2</v>
      </c>
      <c r="BF149" s="2">
        <f t="shared" si="155"/>
        <v>0.33537472521850997</v>
      </c>
    </row>
    <row r="150" spans="1:58" s="2" customFormat="1" x14ac:dyDescent="0.15">
      <c r="A150" s="8">
        <v>232.5</v>
      </c>
      <c r="B150" s="4">
        <v>2.2814784818700001E-2</v>
      </c>
      <c r="C150" s="4">
        <v>4.5321490691500002E-2</v>
      </c>
      <c r="D150" s="4">
        <v>3.2408015136200001E-2</v>
      </c>
      <c r="E150" s="4">
        <v>0.152570621618</v>
      </c>
      <c r="F150" s="4">
        <v>0.25337630072700001</v>
      </c>
      <c r="G150" s="2">
        <f t="shared" si="104"/>
        <v>5.5906435746280598</v>
      </c>
      <c r="H150" s="2">
        <f t="shared" si="105"/>
        <v>0.2080548100355</v>
      </c>
      <c r="I150" s="2">
        <f t="shared" si="106"/>
        <v>0.69653949916220903</v>
      </c>
      <c r="J150" s="2">
        <f t="shared" si="107"/>
        <v>-0.19697603470866601</v>
      </c>
      <c r="K150" s="2">
        <f t="shared" si="108"/>
        <v>4.5906435746280598</v>
      </c>
      <c r="L150" s="2">
        <f t="shared" si="109"/>
        <v>1.7881735308139499</v>
      </c>
      <c r="M150" s="2">
        <f t="shared" si="110"/>
        <v>0.39073879808655398</v>
      </c>
      <c r="N150" s="2">
        <f t="shared" si="111"/>
        <v>0.3641896739962</v>
      </c>
      <c r="O150" s="2">
        <f t="shared" si="112"/>
        <v>0.52614942595393199</v>
      </c>
      <c r="P150" s="2">
        <f t="shared" si="113"/>
        <v>0.38068148520832401</v>
      </c>
      <c r="Q150" s="2">
        <f t="shared" si="114"/>
        <v>0.77319948410525696</v>
      </c>
      <c r="R150" s="2">
        <f t="shared" si="115"/>
        <v>7.8183220929188204</v>
      </c>
      <c r="S150" s="2">
        <f t="shared" si="116"/>
        <v>0.57499378547895597</v>
      </c>
      <c r="T150" s="2">
        <f t="shared" si="117"/>
        <v>-3.1885972479170001E-2</v>
      </c>
      <c r="U150" s="2">
        <f t="shared" si="118"/>
        <v>0.42181094951239001</v>
      </c>
      <c r="V150" s="2">
        <f t="shared" si="119"/>
        <v>0.39891998562526698</v>
      </c>
      <c r="W150" s="2">
        <f t="shared" si="120"/>
        <v>0.22096828559080001</v>
      </c>
      <c r="X150" s="2">
        <f t="shared" si="121"/>
        <v>0.41334315577063802</v>
      </c>
      <c r="Y150" s="2">
        <f t="shared" si="122"/>
        <v>1.1283614155514401</v>
      </c>
      <c r="Z150" s="2">
        <f t="shared" si="123"/>
        <v>1.7961262655536201</v>
      </c>
      <c r="AA150" s="2">
        <f t="shared" si="124"/>
        <v>3.1987224481147498</v>
      </c>
      <c r="AB150" s="2">
        <f t="shared" si="125"/>
        <v>0.14289215793160001</v>
      </c>
      <c r="AC150" s="2">
        <f t="shared" si="126"/>
        <v>1.66071487446248</v>
      </c>
      <c r="AD150" s="2">
        <f t="shared" si="127"/>
        <v>0.100805679109</v>
      </c>
      <c r="AE150" s="2">
        <f t="shared" si="128"/>
        <v>0.248322313978104</v>
      </c>
      <c r="AF150" s="2">
        <f t="shared" si="129"/>
        <v>0.158215990021493</v>
      </c>
      <c r="AG150" s="5">
        <f t="shared" si="130"/>
        <v>0.166906597874525</v>
      </c>
      <c r="AH150" s="2">
        <f t="shared" si="131"/>
        <v>50.724815693308798</v>
      </c>
      <c r="AI150" s="2">
        <f t="shared" si="132"/>
        <v>0.660714874462484</v>
      </c>
      <c r="AJ150" s="2">
        <f t="shared" si="133"/>
        <v>0.405055856032568</v>
      </c>
      <c r="AK150" s="2">
        <f t="shared" si="134"/>
        <v>0.192430054419443</v>
      </c>
      <c r="AL150" s="2">
        <f t="shared" si="135"/>
        <v>0.20661758753262899</v>
      </c>
      <c r="AM150" s="2">
        <f t="shared" si="136"/>
        <v>7.8183220929188204</v>
      </c>
      <c r="AN150" s="2">
        <f t="shared" si="137"/>
        <v>0.12016260648179999</v>
      </c>
      <c r="AO150" s="2">
        <f t="shared" si="138"/>
        <v>0.64960261676851005</v>
      </c>
      <c r="AP150" s="2">
        <f t="shared" si="139"/>
        <v>4.7078051826622804</v>
      </c>
      <c r="AQ150" s="2">
        <f t="shared" si="140"/>
        <v>0.1072491309265</v>
      </c>
      <c r="AR150" s="2">
        <f t="shared" si="141"/>
        <v>0.54195758322476295</v>
      </c>
      <c r="AS150" s="2">
        <f t="shared" si="142"/>
        <v>0.83891055679012905</v>
      </c>
      <c r="AT150" s="2">
        <f t="shared" si="143"/>
        <v>0.10043133838360201</v>
      </c>
      <c r="AU150" s="2">
        <f t="shared" si="144"/>
        <v>0.33809284499081399</v>
      </c>
      <c r="AV150" s="2">
        <f t="shared" si="145"/>
        <v>7.3930991452765105E-2</v>
      </c>
      <c r="AW150" s="2">
        <f t="shared" si="146"/>
        <v>0.57801630382654601</v>
      </c>
      <c r="AX150" s="2">
        <f t="shared" si="147"/>
        <v>-6.4434518174999898E-3</v>
      </c>
      <c r="AY150" s="5">
        <f t="shared" si="148"/>
        <v>1.0620676616565401</v>
      </c>
      <c r="AZ150" s="2">
        <f t="shared" si="149"/>
        <v>0.137796344342207</v>
      </c>
      <c r="BA150" s="2">
        <f t="shared" si="150"/>
        <v>0.60718765489541804</v>
      </c>
      <c r="BB150" s="2">
        <f t="shared" si="151"/>
        <v>9.8305547180724095E-2</v>
      </c>
      <c r="BC150" s="2">
        <f t="shared" si="152"/>
        <v>0.63301445013575597</v>
      </c>
      <c r="BD150" s="2">
        <f t="shared" si="153"/>
        <v>8.2237846127930503E-2</v>
      </c>
      <c r="BE150" s="2">
        <f t="shared" si="154"/>
        <v>-2.2148466328379999E-2</v>
      </c>
      <c r="BF150" s="2">
        <f t="shared" si="155"/>
        <v>0.35650858892680698</v>
      </c>
    </row>
    <row r="151" spans="1:58" s="2" customFormat="1" x14ac:dyDescent="0.15">
      <c r="A151" s="8">
        <v>190</v>
      </c>
      <c r="B151" s="4">
        <v>2.3670717228200001E-2</v>
      </c>
      <c r="C151" s="4">
        <v>4.7777615087999999E-2</v>
      </c>
      <c r="D151" s="4">
        <v>3.60196418945E-2</v>
      </c>
      <c r="E151" s="4">
        <v>0.149860587676</v>
      </c>
      <c r="F151" s="4">
        <v>0.23949680820499999</v>
      </c>
      <c r="G151" s="2">
        <f t="shared" si="104"/>
        <v>5.0127409617219003</v>
      </c>
      <c r="H151" s="2">
        <f t="shared" si="105"/>
        <v>0.191719193117</v>
      </c>
      <c r="I151" s="2">
        <f t="shared" si="106"/>
        <v>0.667372997983394</v>
      </c>
      <c r="J151" s="2">
        <f t="shared" si="107"/>
        <v>-0.248806675146543</v>
      </c>
      <c r="K151" s="2">
        <f t="shared" si="108"/>
        <v>4.0127409617219003</v>
      </c>
      <c r="L151" s="2">
        <f t="shared" si="109"/>
        <v>1.6364580549941099</v>
      </c>
      <c r="M151" s="2">
        <f t="shared" si="110"/>
        <v>0.36528404983946999</v>
      </c>
      <c r="N151" s="2">
        <f t="shared" si="111"/>
        <v>0.33524794536011499</v>
      </c>
      <c r="O151" s="2">
        <f t="shared" si="112"/>
        <v>0.49722106258249898</v>
      </c>
      <c r="P151" s="2">
        <f t="shared" si="113"/>
        <v>0.357698494100058</v>
      </c>
      <c r="Q151" s="2">
        <f t="shared" si="114"/>
        <v>0.73853000877811903</v>
      </c>
      <c r="R151" s="2">
        <f t="shared" si="115"/>
        <v>6.64906133454841</v>
      </c>
      <c r="S151" s="2">
        <f t="shared" si="116"/>
        <v>0.54196233659200399</v>
      </c>
      <c r="T151" s="2">
        <f t="shared" si="117"/>
        <v>-0.11241674219112301</v>
      </c>
      <c r="U151" s="2">
        <f t="shared" si="118"/>
        <v>0.39356450714435598</v>
      </c>
      <c r="V151" s="2">
        <f t="shared" si="119"/>
        <v>0.365463124261451</v>
      </c>
      <c r="W151" s="2">
        <f t="shared" si="120"/>
        <v>0.2034771663105</v>
      </c>
      <c r="X151" s="2">
        <f t="shared" si="121"/>
        <v>0.38765189722409499</v>
      </c>
      <c r="Y151" s="2">
        <f t="shared" si="122"/>
        <v>1.1128926312893399</v>
      </c>
      <c r="Z151" s="2">
        <f t="shared" si="123"/>
        <v>1.57857738579792</v>
      </c>
      <c r="AA151" s="2">
        <f t="shared" si="124"/>
        <v>3.1545435893851401</v>
      </c>
      <c r="AB151" s="2">
        <f t="shared" si="125"/>
        <v>0.13775822504974999</v>
      </c>
      <c r="AC151" s="2">
        <f t="shared" si="126"/>
        <v>1.5981307154806701</v>
      </c>
      <c r="AD151" s="2">
        <f t="shared" si="127"/>
        <v>8.9636220528999999E-2</v>
      </c>
      <c r="AE151" s="2">
        <f t="shared" si="128"/>
        <v>0.23021579011278301</v>
      </c>
      <c r="AF151" s="2">
        <f t="shared" si="129"/>
        <v>0.14365122112884199</v>
      </c>
      <c r="AG151" s="5">
        <f t="shared" si="130"/>
        <v>0.151181438886342</v>
      </c>
      <c r="AH151" s="2">
        <f t="shared" si="131"/>
        <v>46.883464342339401</v>
      </c>
      <c r="AI151" s="2">
        <f t="shared" si="132"/>
        <v>0.59813071548067298</v>
      </c>
      <c r="AJ151" s="2">
        <f t="shared" si="133"/>
        <v>0.37107834112907701</v>
      </c>
      <c r="AK151" s="2">
        <f t="shared" si="134"/>
        <v>0.17337392491964501</v>
      </c>
      <c r="AL151" s="2">
        <f t="shared" si="135"/>
        <v>0.18927207787362399</v>
      </c>
      <c r="AM151" s="2">
        <f t="shared" si="136"/>
        <v>6.64906133454841</v>
      </c>
      <c r="AN151" s="2">
        <f t="shared" si="137"/>
        <v>0.1138409457815</v>
      </c>
      <c r="AO151" s="2">
        <f t="shared" si="138"/>
        <v>0.61244246386258505</v>
      </c>
      <c r="AP151" s="2">
        <f t="shared" si="139"/>
        <v>4.1605240861343198</v>
      </c>
      <c r="AQ151" s="2">
        <f t="shared" si="140"/>
        <v>0.102082972588</v>
      </c>
      <c r="AR151" s="2">
        <f t="shared" si="141"/>
        <v>0.516514374044867</v>
      </c>
      <c r="AS151" s="2">
        <f t="shared" si="142"/>
        <v>0.78738120026728198</v>
      </c>
      <c r="AT151" s="2">
        <f t="shared" si="143"/>
        <v>0.10929715966262001</v>
      </c>
      <c r="AU151" s="2">
        <f t="shared" si="144"/>
        <v>0.34282449109670499</v>
      </c>
      <c r="AV151" s="2">
        <f t="shared" si="145"/>
        <v>8.4676977588785493E-2</v>
      </c>
      <c r="AW151" s="2">
        <f t="shared" si="146"/>
        <v>0.56302241761201599</v>
      </c>
      <c r="AX151" s="2">
        <f t="shared" si="147"/>
        <v>-1.2446752058999999E-2</v>
      </c>
      <c r="AY151" s="5">
        <f t="shared" si="148"/>
        <v>1.06132913978166</v>
      </c>
      <c r="AZ151" s="2">
        <f t="shared" si="149"/>
        <v>0.12587035843532099</v>
      </c>
      <c r="BA151" s="2">
        <f t="shared" si="150"/>
        <v>0.63032704425652997</v>
      </c>
      <c r="BB151" s="2">
        <f t="shared" si="151"/>
        <v>8.1971930993504402E-2</v>
      </c>
      <c r="BC151" s="2">
        <f t="shared" si="152"/>
        <v>0.59450902409696305</v>
      </c>
      <c r="BD151" s="2">
        <f t="shared" si="153"/>
        <v>7.3798795959132399E-2</v>
      </c>
      <c r="BE151" s="2">
        <f t="shared" si="154"/>
        <v>-3.0173279675519998E-2</v>
      </c>
      <c r="BF151" s="2">
        <f t="shared" si="155"/>
        <v>0.34495820299656699</v>
      </c>
    </row>
    <row r="152" spans="1:58" s="2" customFormat="1" x14ac:dyDescent="0.15">
      <c r="A152" s="8">
        <v>228</v>
      </c>
      <c r="B152" s="4">
        <v>2.24957790109E-2</v>
      </c>
      <c r="C152" s="4">
        <v>4.6606438864699999E-2</v>
      </c>
      <c r="D152" s="4">
        <v>3.2403423766799999E-2</v>
      </c>
      <c r="E152" s="4">
        <v>0.156888574245</v>
      </c>
      <c r="F152" s="4">
        <v>0.26095890851100001</v>
      </c>
      <c r="G152" s="2">
        <f t="shared" si="104"/>
        <v>5.59920291847597</v>
      </c>
      <c r="H152" s="2">
        <f t="shared" si="105"/>
        <v>0.2143524696463</v>
      </c>
      <c r="I152" s="2">
        <f t="shared" si="106"/>
        <v>0.69693309560150896</v>
      </c>
      <c r="J152" s="2">
        <f t="shared" si="107"/>
        <v>-0.19624068191477401</v>
      </c>
      <c r="K152" s="2">
        <f t="shared" si="108"/>
        <v>4.59920291847597</v>
      </c>
      <c r="L152" s="2">
        <f t="shared" si="109"/>
        <v>1.79034542121708</v>
      </c>
      <c r="M152" s="2">
        <f t="shared" si="110"/>
        <v>0.39814574203103698</v>
      </c>
      <c r="N152" s="2">
        <f t="shared" si="111"/>
        <v>0.37320444864025598</v>
      </c>
      <c r="O152" s="2">
        <f t="shared" si="112"/>
        <v>0.53179489494954502</v>
      </c>
      <c r="P152" s="2">
        <f t="shared" si="113"/>
        <v>0.38650915929693602</v>
      </c>
      <c r="Q152" s="2">
        <f t="shared" si="114"/>
        <v>0.77908940445622399</v>
      </c>
      <c r="R152" s="2">
        <f t="shared" si="115"/>
        <v>8.0534362784951803</v>
      </c>
      <c r="S152" s="2">
        <f t="shared" si="116"/>
        <v>0.58479574377347199</v>
      </c>
      <c r="T152" s="2">
        <f t="shared" si="117"/>
        <v>-1.70806730959417E-2</v>
      </c>
      <c r="U152" s="2">
        <f t="shared" si="118"/>
        <v>0.432126927594358</v>
      </c>
      <c r="V152" s="2">
        <f t="shared" si="119"/>
        <v>0.41174909915013402</v>
      </c>
      <c r="W152" s="2">
        <f t="shared" si="120"/>
        <v>0.22855548474420001</v>
      </c>
      <c r="X152" s="2">
        <f t="shared" si="121"/>
        <v>0.42197767298112099</v>
      </c>
      <c r="Y152" s="2">
        <f t="shared" si="122"/>
        <v>1.1309683481230699</v>
      </c>
      <c r="Z152" s="2">
        <f t="shared" si="123"/>
        <v>1.83785769172719</v>
      </c>
      <c r="AA152" s="2">
        <f t="shared" si="124"/>
        <v>3.2104754526970298</v>
      </c>
      <c r="AB152" s="2">
        <f t="shared" si="125"/>
        <v>0.1466811661389</v>
      </c>
      <c r="AC152" s="2">
        <f t="shared" si="126"/>
        <v>1.6633391549819401</v>
      </c>
      <c r="AD152" s="2">
        <f t="shared" si="127"/>
        <v>0.104070334266</v>
      </c>
      <c r="AE152" s="2">
        <f t="shared" si="128"/>
        <v>0.24906296809444101</v>
      </c>
      <c r="AF152" s="2">
        <f t="shared" si="129"/>
        <v>0.160997100417587</v>
      </c>
      <c r="AG152" s="5">
        <f t="shared" si="130"/>
        <v>0.17007782265770899</v>
      </c>
      <c r="AH152" s="2">
        <f t="shared" si="131"/>
        <v>50.882712107833598</v>
      </c>
      <c r="AI152" s="2">
        <f t="shared" si="132"/>
        <v>0.66333915498194196</v>
      </c>
      <c r="AJ152" s="2">
        <f t="shared" si="133"/>
        <v>0.406464289689833</v>
      </c>
      <c r="AK152" s="2">
        <f t="shared" si="134"/>
        <v>0.196764448030712</v>
      </c>
      <c r="AL152" s="2">
        <f t="shared" si="135"/>
        <v>0.20891600526282</v>
      </c>
      <c r="AM152" s="2">
        <f t="shared" si="136"/>
        <v>8.0534362784951803</v>
      </c>
      <c r="AN152" s="2">
        <f t="shared" si="137"/>
        <v>0.1244851504782</v>
      </c>
      <c r="AO152" s="2">
        <f t="shared" si="138"/>
        <v>0.65763556719624205</v>
      </c>
      <c r="AP152" s="2">
        <f t="shared" si="139"/>
        <v>4.8417283116157996</v>
      </c>
      <c r="AQ152" s="2">
        <f t="shared" si="140"/>
        <v>0.1102821353803</v>
      </c>
      <c r="AR152" s="2">
        <f t="shared" si="141"/>
        <v>0.54194023575825501</v>
      </c>
      <c r="AS152" s="2">
        <f t="shared" si="142"/>
        <v>0.83600601249403605</v>
      </c>
      <c r="AT152" s="2">
        <f t="shared" si="143"/>
        <v>0.10034674419815</v>
      </c>
      <c r="AU152" s="2">
        <f t="shared" si="144"/>
        <v>0.33779147282800698</v>
      </c>
      <c r="AV152" s="2">
        <f t="shared" si="145"/>
        <v>7.1967481458383595E-2</v>
      </c>
      <c r="AW152" s="2">
        <f t="shared" si="146"/>
        <v>0.57958552604887503</v>
      </c>
      <c r="AX152" s="2">
        <f t="shared" si="147"/>
        <v>-6.2118011142999804E-3</v>
      </c>
      <c r="AY152" s="5">
        <f t="shared" si="148"/>
        <v>1.06626009544623</v>
      </c>
      <c r="AZ152" s="2">
        <f t="shared" si="149"/>
        <v>0.14042744585532199</v>
      </c>
      <c r="BA152" s="2">
        <f t="shared" si="150"/>
        <v>0.607708509631113</v>
      </c>
      <c r="BB152" s="2">
        <f t="shared" si="151"/>
        <v>0.101796090710743</v>
      </c>
      <c r="BC152" s="2">
        <f t="shared" si="152"/>
        <v>0.65268425826665</v>
      </c>
      <c r="BD152" s="2">
        <f t="shared" si="153"/>
        <v>8.4111830681456501E-2</v>
      </c>
      <c r="BE152" s="2">
        <f t="shared" si="154"/>
        <v>-2.2178849850227899E-2</v>
      </c>
      <c r="BF152" s="2">
        <f t="shared" si="155"/>
        <v>0.35736998237898199</v>
      </c>
    </row>
    <row r="153" spans="1:58" s="2" customFormat="1" x14ac:dyDescent="0.15">
      <c r="A153" s="8">
        <v>224</v>
      </c>
      <c r="B153" s="4">
        <v>2.3670367557099999E-2</v>
      </c>
      <c r="C153" s="4">
        <v>4.7506828156900001E-2</v>
      </c>
      <c r="D153" s="4">
        <v>3.5589319951600001E-2</v>
      </c>
      <c r="E153" s="4">
        <v>0.153641057172</v>
      </c>
      <c r="F153" s="4">
        <v>0.24754496996899999</v>
      </c>
      <c r="G153" s="2">
        <f t="shared" si="104"/>
        <v>5.2107240069035399</v>
      </c>
      <c r="H153" s="2">
        <f t="shared" si="105"/>
        <v>0.2000381418121</v>
      </c>
      <c r="I153" s="2">
        <f t="shared" si="106"/>
        <v>0.67797635222932195</v>
      </c>
      <c r="J153" s="2">
        <f t="shared" si="107"/>
        <v>-0.23055198660102399</v>
      </c>
      <c r="K153" s="2">
        <f t="shared" si="108"/>
        <v>4.2107240069035399</v>
      </c>
      <c r="L153" s="2">
        <f t="shared" si="109"/>
        <v>1.6896068484842599</v>
      </c>
      <c r="M153" s="2">
        <f t="shared" si="110"/>
        <v>0.37740586641706397</v>
      </c>
      <c r="N153" s="2">
        <f t="shared" si="111"/>
        <v>0.349114049354456</v>
      </c>
      <c r="O153" s="2">
        <f t="shared" si="112"/>
        <v>0.50992929916482999</v>
      </c>
      <c r="P153" s="2">
        <f t="shared" si="113"/>
        <v>0.36826774185706201</v>
      </c>
      <c r="Q153" s="2">
        <f t="shared" si="114"/>
        <v>0.74860466415720694</v>
      </c>
      <c r="R153" s="2">
        <f t="shared" si="115"/>
        <v>6.9555970809684204</v>
      </c>
      <c r="S153" s="2">
        <f t="shared" si="116"/>
        <v>0.55483982984985902</v>
      </c>
      <c r="T153" s="2">
        <f t="shared" si="117"/>
        <v>-9.0113318265621703E-2</v>
      </c>
      <c r="U153" s="2">
        <f t="shared" si="118"/>
        <v>0.40597567890729802</v>
      </c>
      <c r="V153" s="2">
        <f t="shared" si="119"/>
        <v>0.38024103302964002</v>
      </c>
      <c r="W153" s="2">
        <f t="shared" si="120"/>
        <v>0.21195565001739999</v>
      </c>
      <c r="X153" s="2">
        <f t="shared" si="121"/>
        <v>0.39833527109396</v>
      </c>
      <c r="Y153" s="2">
        <f t="shared" si="122"/>
        <v>1.1174098013518601</v>
      </c>
      <c r="Z153" s="2">
        <f t="shared" si="123"/>
        <v>1.6373465985661499</v>
      </c>
      <c r="AA153" s="2">
        <f t="shared" si="124"/>
        <v>3.16904383889861</v>
      </c>
      <c r="AB153" s="2">
        <f t="shared" si="125"/>
        <v>0.14156714496030001</v>
      </c>
      <c r="AC153" s="2">
        <f t="shared" si="126"/>
        <v>1.6111902282205399</v>
      </c>
      <c r="AD153" s="2">
        <f t="shared" si="127"/>
        <v>9.3903912797E-2</v>
      </c>
      <c r="AE153" s="2">
        <f t="shared" si="128"/>
        <v>0.234065761128806</v>
      </c>
      <c r="AF153" s="2">
        <f t="shared" si="129"/>
        <v>0.14825549170874899</v>
      </c>
      <c r="AG153" s="5">
        <f t="shared" si="130"/>
        <v>0.15630054722704001</v>
      </c>
      <c r="AH153" s="2">
        <f t="shared" si="131"/>
        <v>47.697317805596199</v>
      </c>
      <c r="AI153" s="2">
        <f t="shared" si="132"/>
        <v>0.61119022822054203</v>
      </c>
      <c r="AJ153" s="2">
        <f t="shared" si="133"/>
        <v>0.37823102194681202</v>
      </c>
      <c r="AK153" s="2">
        <f t="shared" si="134"/>
        <v>0.17986170572326901</v>
      </c>
      <c r="AL153" s="2">
        <f t="shared" si="135"/>
        <v>0.19410415366088801</v>
      </c>
      <c r="AM153" s="2">
        <f t="shared" si="136"/>
        <v>6.9555970809684204</v>
      </c>
      <c r="AN153" s="2">
        <f t="shared" si="137"/>
        <v>0.11805173722039999</v>
      </c>
      <c r="AO153" s="2">
        <f t="shared" si="138"/>
        <v>0.62385193653813797</v>
      </c>
      <c r="AP153" s="2">
        <f t="shared" si="139"/>
        <v>4.3170551553371999</v>
      </c>
      <c r="AQ153" s="2">
        <f t="shared" si="140"/>
        <v>0.1061342290151</v>
      </c>
      <c r="AR153" s="2">
        <f t="shared" si="141"/>
        <v>0.52764277805634496</v>
      </c>
      <c r="AS153" s="2">
        <f t="shared" si="142"/>
        <v>0.79544710656551798</v>
      </c>
      <c r="AT153" s="2">
        <f t="shared" si="143"/>
        <v>0.10587828086845499</v>
      </c>
      <c r="AU153" s="2">
        <f t="shared" si="144"/>
        <v>0.34241921920061202</v>
      </c>
      <c r="AV153" s="2">
        <f t="shared" si="145"/>
        <v>8.1481979668726098E-2</v>
      </c>
      <c r="AW153" s="2">
        <f t="shared" si="146"/>
        <v>0.56675581993531898</v>
      </c>
      <c r="AX153" s="2">
        <f t="shared" si="147"/>
        <v>-1.22303162181E-2</v>
      </c>
      <c r="AY153" s="5">
        <f t="shared" si="148"/>
        <v>1.0595761793093199</v>
      </c>
      <c r="AZ153" s="2">
        <f t="shared" si="149"/>
        <v>0.12948048293700101</v>
      </c>
      <c r="BA153" s="2">
        <f t="shared" si="150"/>
        <v>0.61703010170510397</v>
      </c>
      <c r="BB153" s="2">
        <f t="shared" si="151"/>
        <v>8.6837166818390196E-2</v>
      </c>
      <c r="BC153" s="2">
        <f t="shared" si="152"/>
        <v>0.61571319135047697</v>
      </c>
      <c r="BD153" s="2">
        <f t="shared" si="153"/>
        <v>7.6811215116499201E-2</v>
      </c>
      <c r="BE153" s="2">
        <f t="shared" si="154"/>
        <v>-3.0347762835876001E-2</v>
      </c>
      <c r="BF153" s="2">
        <f t="shared" si="155"/>
        <v>0.345241777768724</v>
      </c>
    </row>
    <row r="154" spans="1:58" s="2" customFormat="1" x14ac:dyDescent="0.15">
      <c r="A154" s="8">
        <v>231.5</v>
      </c>
      <c r="B154" s="4">
        <v>2.3204823687200001E-2</v>
      </c>
      <c r="C154" s="4">
        <v>4.7989124415000001E-2</v>
      </c>
      <c r="D154" s="4">
        <v>3.4374998362699999E-2</v>
      </c>
      <c r="E154" s="4">
        <v>0.156612127533</v>
      </c>
      <c r="F154" s="4">
        <v>0.257479847072</v>
      </c>
      <c r="G154" s="2">
        <f t="shared" si="104"/>
        <v>5.3653791397685797</v>
      </c>
      <c r="H154" s="2">
        <f t="shared" si="105"/>
        <v>0.209490722657</v>
      </c>
      <c r="I154" s="2">
        <f t="shared" si="106"/>
        <v>0.685800333949517</v>
      </c>
      <c r="J154" s="2">
        <f t="shared" si="107"/>
        <v>-0.21665935389128599</v>
      </c>
      <c r="K154" s="2">
        <f t="shared" si="108"/>
        <v>4.3653791397685797</v>
      </c>
      <c r="L154" s="2">
        <f t="shared" si="109"/>
        <v>1.7302538749760199</v>
      </c>
      <c r="M154" s="2">
        <f t="shared" si="110"/>
        <v>0.39012810562445299</v>
      </c>
      <c r="N154" s="2">
        <f t="shared" si="111"/>
        <v>0.36404081315922099</v>
      </c>
      <c r="O154" s="2">
        <f t="shared" si="112"/>
        <v>0.52207397950887202</v>
      </c>
      <c r="P154" s="2">
        <f t="shared" si="113"/>
        <v>0.37903668365673598</v>
      </c>
      <c r="Q154" s="2">
        <f t="shared" si="114"/>
        <v>0.76443770661747601</v>
      </c>
      <c r="R154" s="2">
        <f t="shared" si="115"/>
        <v>7.4903231806809103</v>
      </c>
      <c r="S154" s="2">
        <f t="shared" si="116"/>
        <v>0.57275389899562101</v>
      </c>
      <c r="T154" s="2">
        <f t="shared" si="117"/>
        <v>-5.32753066211855E-2</v>
      </c>
      <c r="U154" s="2">
        <f t="shared" si="118"/>
        <v>0.42262451886650398</v>
      </c>
      <c r="V154" s="2">
        <f t="shared" si="119"/>
        <v>0.40031598929574003</v>
      </c>
      <c r="W154" s="2">
        <f t="shared" si="120"/>
        <v>0.2231048487093</v>
      </c>
      <c r="X154" s="2">
        <f t="shared" si="121"/>
        <v>0.412976705012009</v>
      </c>
      <c r="Y154" s="2">
        <f t="shared" si="122"/>
        <v>1.1244721902374799</v>
      </c>
      <c r="Z154" s="2">
        <f t="shared" si="123"/>
        <v>1.7368454798692801</v>
      </c>
      <c r="AA154" s="2">
        <f t="shared" si="124"/>
        <v>3.1920082975302102</v>
      </c>
      <c r="AB154" s="2">
        <f t="shared" si="125"/>
        <v>0.14592742271735001</v>
      </c>
      <c r="AC154" s="2">
        <f t="shared" si="126"/>
        <v>1.64406071948512</v>
      </c>
      <c r="AD154" s="2">
        <f t="shared" si="127"/>
        <v>0.10086771953900001</v>
      </c>
      <c r="AE154" s="2">
        <f t="shared" si="128"/>
        <v>0.24358771897286099</v>
      </c>
      <c r="AF154" s="2">
        <f t="shared" si="129"/>
        <v>0.15674864503560901</v>
      </c>
      <c r="AG154" s="5">
        <f t="shared" si="130"/>
        <v>0.16552117676547901</v>
      </c>
      <c r="AH154" s="2">
        <f t="shared" si="131"/>
        <v>49.716922994533</v>
      </c>
      <c r="AI154" s="2">
        <f t="shared" si="132"/>
        <v>0.644060719485124</v>
      </c>
      <c r="AJ154" s="2">
        <f t="shared" si="133"/>
        <v>0.39608746703146402</v>
      </c>
      <c r="AK154" s="2">
        <f t="shared" si="134"/>
        <v>0.191072366584359</v>
      </c>
      <c r="AL154" s="2">
        <f t="shared" si="135"/>
        <v>0.20381151425387101</v>
      </c>
      <c r="AM154" s="2">
        <f t="shared" si="136"/>
        <v>7.4903231806809103</v>
      </c>
      <c r="AN154" s="2">
        <f t="shared" si="137"/>
        <v>0.1222371291703</v>
      </c>
      <c r="AO154" s="2">
        <f t="shared" si="138"/>
        <v>0.64002810973266799</v>
      </c>
      <c r="AP154" s="2">
        <f t="shared" si="139"/>
        <v>4.5559893816006198</v>
      </c>
      <c r="AQ154" s="2">
        <f t="shared" si="140"/>
        <v>0.10862300311799999</v>
      </c>
      <c r="AR154" s="2">
        <f t="shared" si="141"/>
        <v>0.53090096997845804</v>
      </c>
      <c r="AS154" s="2">
        <f t="shared" si="142"/>
        <v>0.82518069774423197</v>
      </c>
      <c r="AT154" s="2">
        <f t="shared" si="143"/>
        <v>0.10385433318258901</v>
      </c>
      <c r="AU154" s="2">
        <f t="shared" si="144"/>
        <v>0.33892779398497203</v>
      </c>
      <c r="AV154" s="2">
        <f t="shared" si="145"/>
        <v>7.6650010892052506E-2</v>
      </c>
      <c r="AW154" s="2">
        <f t="shared" si="146"/>
        <v>0.57413335338418403</v>
      </c>
      <c r="AX154" s="2">
        <f t="shared" si="147"/>
        <v>-7.7552835789999903E-3</v>
      </c>
      <c r="AY154" s="5">
        <f t="shared" si="148"/>
        <v>1.06498677306389</v>
      </c>
      <c r="AZ154" s="2">
        <f t="shared" si="149"/>
        <v>0.137254848460928</v>
      </c>
      <c r="BA154" s="2">
        <f t="shared" si="150"/>
        <v>0.61879118195682004</v>
      </c>
      <c r="BB154" s="2">
        <f t="shared" si="151"/>
        <v>9.6949561914726895E-2</v>
      </c>
      <c r="BC154" s="2">
        <f t="shared" si="152"/>
        <v>0.642800457982592</v>
      </c>
      <c r="BD154" s="2">
        <f t="shared" si="153"/>
        <v>8.2524407763221105E-2</v>
      </c>
      <c r="BE154" s="2">
        <f t="shared" si="154"/>
        <v>-2.420236872792E-2</v>
      </c>
      <c r="BF154" s="2">
        <f t="shared" si="155"/>
        <v>0.35518751874914101</v>
      </c>
    </row>
    <row r="155" spans="1:58" s="2" customFormat="1" x14ac:dyDescent="0.15">
      <c r="A155" s="8">
        <v>230</v>
      </c>
      <c r="B155" s="4">
        <v>2.3263846002400002E-2</v>
      </c>
      <c r="C155" s="4">
        <v>4.6223042357599997E-2</v>
      </c>
      <c r="D155" s="4">
        <v>3.4243299701599998E-2</v>
      </c>
      <c r="E155" s="4">
        <v>0.15298662753600001</v>
      </c>
      <c r="F155" s="4">
        <v>0.249028869052</v>
      </c>
      <c r="G155" s="2">
        <f t="shared" si="104"/>
        <v>5.3875482086491102</v>
      </c>
      <c r="H155" s="2">
        <f t="shared" si="105"/>
        <v>0.2028058266944</v>
      </c>
      <c r="I155" s="2">
        <f t="shared" si="106"/>
        <v>0.68689081715392997</v>
      </c>
      <c r="J155" s="2">
        <f t="shared" si="107"/>
        <v>-0.214693576041077</v>
      </c>
      <c r="K155" s="2">
        <f t="shared" si="108"/>
        <v>4.3875482086491102</v>
      </c>
      <c r="L155" s="2">
        <f t="shared" si="109"/>
        <v>1.7360203265921901</v>
      </c>
      <c r="M155" s="2">
        <f t="shared" si="110"/>
        <v>0.382531290622595</v>
      </c>
      <c r="N155" s="2">
        <f t="shared" si="111"/>
        <v>0.35477946412598299</v>
      </c>
      <c r="O155" s="2">
        <f t="shared" si="112"/>
        <v>0.51675732285688303</v>
      </c>
      <c r="P155" s="2">
        <f t="shared" si="113"/>
        <v>0.37323646662899201</v>
      </c>
      <c r="Q155" s="2">
        <f t="shared" si="114"/>
        <v>0.75823039833195904</v>
      </c>
      <c r="R155" s="2">
        <f t="shared" si="115"/>
        <v>7.2723385661447901</v>
      </c>
      <c r="S155" s="2">
        <f t="shared" si="116"/>
        <v>0.56207287082117396</v>
      </c>
      <c r="T155" s="2">
        <f t="shared" si="117"/>
        <v>-6.7987765859925997E-2</v>
      </c>
      <c r="U155" s="2">
        <f t="shared" si="118"/>
        <v>0.41132363293116098</v>
      </c>
      <c r="V155" s="2">
        <f t="shared" si="119"/>
        <v>0.38643666288573603</v>
      </c>
      <c r="W155" s="2">
        <f t="shared" si="120"/>
        <v>0.2147855693504</v>
      </c>
      <c r="X155" s="2">
        <f t="shared" si="121"/>
        <v>0.40355538381306499</v>
      </c>
      <c r="Y155" s="2">
        <f t="shared" si="122"/>
        <v>1.1217086958439599</v>
      </c>
      <c r="Z155" s="2">
        <f t="shared" si="123"/>
        <v>1.6967273807607599</v>
      </c>
      <c r="AA155" s="2">
        <f t="shared" si="124"/>
        <v>3.1800590705123701</v>
      </c>
      <c r="AB155" s="2">
        <f t="shared" si="125"/>
        <v>0.1416360843768</v>
      </c>
      <c r="AC155" s="2">
        <f t="shared" si="126"/>
        <v>1.6277819379566301</v>
      </c>
      <c r="AD155" s="2">
        <f t="shared" si="127"/>
        <v>9.6042241515999993E-2</v>
      </c>
      <c r="AE155" s="2">
        <f t="shared" si="128"/>
        <v>0.23890183918563601</v>
      </c>
      <c r="AF155" s="2">
        <f t="shared" si="129"/>
        <v>0.15147497528530399</v>
      </c>
      <c r="AG155" s="5">
        <f t="shared" si="130"/>
        <v>0.159712735334304</v>
      </c>
      <c r="AH155" s="2">
        <f t="shared" si="131"/>
        <v>48.721831386486798</v>
      </c>
      <c r="AI155" s="2">
        <f t="shared" si="132"/>
        <v>0.62778193795663495</v>
      </c>
      <c r="AJ155" s="2">
        <f t="shared" si="133"/>
        <v>0.387270266849087</v>
      </c>
      <c r="AK155" s="2">
        <f t="shared" si="134"/>
        <v>0.18392503655944301</v>
      </c>
      <c r="AL155" s="2">
        <f t="shared" si="135"/>
        <v>0.19823118905959899</v>
      </c>
      <c r="AM155" s="2">
        <f t="shared" si="136"/>
        <v>7.2723385661447901</v>
      </c>
      <c r="AN155" s="2">
        <f t="shared" si="137"/>
        <v>0.1187433278344</v>
      </c>
      <c r="AO155" s="2">
        <f t="shared" si="138"/>
        <v>0.634211258778686</v>
      </c>
      <c r="AP155" s="2">
        <f t="shared" si="139"/>
        <v>4.46763684776709</v>
      </c>
      <c r="AQ155" s="2">
        <f t="shared" si="140"/>
        <v>0.1067635851784</v>
      </c>
      <c r="AR155" s="2">
        <f t="shared" si="141"/>
        <v>0.53593575671012095</v>
      </c>
      <c r="AS155" s="2">
        <f t="shared" si="142"/>
        <v>0.80882221567801205</v>
      </c>
      <c r="AT155" s="2">
        <f t="shared" si="143"/>
        <v>0.103121526467428</v>
      </c>
      <c r="AU155" s="2">
        <f t="shared" si="144"/>
        <v>0.34130627833981703</v>
      </c>
      <c r="AV155" s="2">
        <f t="shared" si="145"/>
        <v>7.8493087114439294E-2</v>
      </c>
      <c r="AW155" s="2">
        <f t="shared" si="146"/>
        <v>0.57082830459809897</v>
      </c>
      <c r="AX155" s="2">
        <f t="shared" si="147"/>
        <v>-1.0721343662400001E-2</v>
      </c>
      <c r="AY155" s="5">
        <f t="shared" si="148"/>
        <v>1.0590700121947301</v>
      </c>
      <c r="AZ155" s="2">
        <f t="shared" si="149"/>
        <v>0.131906165869043</v>
      </c>
      <c r="BA155" s="2">
        <f t="shared" si="150"/>
        <v>0.60887257914437798</v>
      </c>
      <c r="BB155" s="2">
        <f t="shared" si="151"/>
        <v>9.0311093699512096E-2</v>
      </c>
      <c r="BC155" s="2">
        <f t="shared" si="152"/>
        <v>0.62030958831249805</v>
      </c>
      <c r="BD155" s="2">
        <f t="shared" si="153"/>
        <v>7.8352282354612002E-2</v>
      </c>
      <c r="BE155" s="2">
        <f t="shared" si="154"/>
        <v>-2.8250365095264001E-2</v>
      </c>
      <c r="BF155" s="2">
        <f t="shared" si="155"/>
        <v>0.347801765898551</v>
      </c>
    </row>
    <row r="156" spans="1:58" s="2" customFormat="1" x14ac:dyDescent="0.15">
      <c r="A156" s="8">
        <v>224</v>
      </c>
      <c r="B156" s="4">
        <v>2.4853432125600001E-2</v>
      </c>
      <c r="C156" s="4">
        <v>4.8958957195300003E-2</v>
      </c>
      <c r="D156" s="4">
        <v>3.9051889601500002E-2</v>
      </c>
      <c r="E156" s="4">
        <v>0.147779942252</v>
      </c>
      <c r="F156" s="4">
        <v>0.224337814858</v>
      </c>
      <c r="G156" s="2">
        <f t="shared" si="104"/>
        <v>4.5821608079417198</v>
      </c>
      <c r="H156" s="2">
        <f t="shared" si="105"/>
        <v>0.17537885766270001</v>
      </c>
      <c r="I156" s="2">
        <f t="shared" si="106"/>
        <v>0.64171580346545998</v>
      </c>
      <c r="J156" s="2">
        <f t="shared" si="107"/>
        <v>-0.29043972180698002</v>
      </c>
      <c r="K156" s="2">
        <f t="shared" si="108"/>
        <v>3.5821608079417202</v>
      </c>
      <c r="L156" s="2">
        <f t="shared" si="109"/>
        <v>1.5161560609023099</v>
      </c>
      <c r="M156" s="2">
        <f t="shared" si="110"/>
        <v>0.34019059176406102</v>
      </c>
      <c r="N156" s="2">
        <f t="shared" si="111"/>
        <v>0.30731556760029999</v>
      </c>
      <c r="O156" s="2">
        <f t="shared" si="112"/>
        <v>0.469515325315433</v>
      </c>
      <c r="P156" s="2">
        <f t="shared" si="113"/>
        <v>0.33547486426835899</v>
      </c>
      <c r="Q156" s="2">
        <f t="shared" si="114"/>
        <v>0.70346684824573502</v>
      </c>
      <c r="R156" s="2">
        <f t="shared" si="115"/>
        <v>5.7446084465368097</v>
      </c>
      <c r="S156" s="2">
        <f t="shared" si="116"/>
        <v>0.50764501600699596</v>
      </c>
      <c r="T156" s="2">
        <f t="shared" si="117"/>
        <v>-0.18388518202981199</v>
      </c>
      <c r="U156" s="2">
        <f t="shared" si="118"/>
        <v>0.36407209353384101</v>
      </c>
      <c r="V156" s="2">
        <f t="shared" si="119"/>
        <v>0.33179046800635897</v>
      </c>
      <c r="W156" s="2">
        <f t="shared" si="120"/>
        <v>0.18528592525650001</v>
      </c>
      <c r="X156" s="2">
        <f t="shared" si="121"/>
        <v>0.36102978528714902</v>
      </c>
      <c r="Y156" s="2">
        <f t="shared" si="122"/>
        <v>1.09702636624911</v>
      </c>
      <c r="Z156" s="2">
        <f t="shared" si="123"/>
        <v>1.39679128138785</v>
      </c>
      <c r="AA156" s="2">
        <f t="shared" si="124"/>
        <v>3.11413746145652</v>
      </c>
      <c r="AB156" s="2">
        <f t="shared" si="125"/>
        <v>0.13169485222975</v>
      </c>
      <c r="AC156" s="2">
        <f t="shared" si="126"/>
        <v>1.5180532042396599</v>
      </c>
      <c r="AD156" s="2">
        <f t="shared" si="127"/>
        <v>7.6557872605999999E-2</v>
      </c>
      <c r="AE156" s="2">
        <f t="shared" si="128"/>
        <v>0.20573560692339901</v>
      </c>
      <c r="AF156" s="2">
        <f t="shared" si="129"/>
        <v>0.125501714670994</v>
      </c>
      <c r="AG156" s="5">
        <f t="shared" si="130"/>
        <v>0.13167580636076401</v>
      </c>
      <c r="AH156" s="2">
        <f t="shared" si="131"/>
        <v>41.742872726546999</v>
      </c>
      <c r="AI156" s="2">
        <f t="shared" si="132"/>
        <v>0.51805320423965595</v>
      </c>
      <c r="AJ156" s="2">
        <f t="shared" si="133"/>
        <v>0.32646897309370398</v>
      </c>
      <c r="AK156" s="2">
        <f t="shared" si="134"/>
        <v>0.15043012531889899</v>
      </c>
      <c r="AL156" s="2">
        <f t="shared" si="135"/>
        <v>0.166893758075812</v>
      </c>
      <c r="AM156" s="2">
        <f t="shared" si="136"/>
        <v>5.7446084465368097</v>
      </c>
      <c r="AN156" s="2">
        <f t="shared" si="137"/>
        <v>0.10872805265050001</v>
      </c>
      <c r="AO156" s="2">
        <f t="shared" si="138"/>
        <v>0.58195678740524603</v>
      </c>
      <c r="AP156" s="2">
        <f t="shared" si="139"/>
        <v>3.7841944080043599</v>
      </c>
      <c r="AQ156" s="2">
        <f t="shared" si="140"/>
        <v>9.8820985056700006E-2</v>
      </c>
      <c r="AR156" s="2">
        <f t="shared" si="141"/>
        <v>0.50229509941510597</v>
      </c>
      <c r="AS156" s="2">
        <f t="shared" si="142"/>
        <v>0.70412254004116903</v>
      </c>
      <c r="AT156" s="2">
        <f t="shared" si="143"/>
        <v>0.116270873054743</v>
      </c>
      <c r="AU156" s="2">
        <f t="shared" si="144"/>
        <v>0.35095728932864401</v>
      </c>
      <c r="AV156" s="2">
        <f t="shared" si="145"/>
        <v>9.4977559539799902E-2</v>
      </c>
      <c r="AW156" s="2">
        <f t="shared" si="146"/>
        <v>0.54560889076378805</v>
      </c>
      <c r="AX156" s="2">
        <f t="shared" si="147"/>
        <v>-2.22631124507E-2</v>
      </c>
      <c r="AY156" s="5">
        <f t="shared" si="148"/>
        <v>1.0564895206060401</v>
      </c>
      <c r="AZ156" s="2">
        <f t="shared" si="149"/>
        <v>0.10975565194393801</v>
      </c>
      <c r="BA156" s="2">
        <f t="shared" si="150"/>
        <v>0.63630885147935101</v>
      </c>
      <c r="BB156" s="2">
        <f t="shared" si="151"/>
        <v>6.29720364531592E-2</v>
      </c>
      <c r="BC156" s="2">
        <f t="shared" si="152"/>
        <v>0.55210846084284104</v>
      </c>
      <c r="BD156" s="2">
        <f t="shared" si="153"/>
        <v>6.0909282296316397E-2</v>
      </c>
      <c r="BE156" s="2">
        <f t="shared" si="154"/>
        <v>-4.3917400135812003E-2</v>
      </c>
      <c r="BF156" s="2">
        <f t="shared" si="155"/>
        <v>0.320602369167729</v>
      </c>
    </row>
    <row r="157" spans="1:58" s="2" customFormat="1" x14ac:dyDescent="0.15">
      <c r="A157" s="8">
        <v>218.5</v>
      </c>
      <c r="B157" s="4">
        <v>2.5009826507599999E-2</v>
      </c>
      <c r="C157" s="4">
        <v>4.8876528499400003E-2</v>
      </c>
      <c r="D157" s="4">
        <v>4.0408863775300001E-2</v>
      </c>
      <c r="E157" s="4">
        <v>0.14159131804200001</v>
      </c>
      <c r="F157" s="4">
        <v>0.21593446936999999</v>
      </c>
      <c r="G157" s="2">
        <f t="shared" si="104"/>
        <v>4.4179583943374903</v>
      </c>
      <c r="H157" s="2">
        <f t="shared" si="105"/>
        <v>0.1670579408706</v>
      </c>
      <c r="I157" s="2">
        <f t="shared" si="106"/>
        <v>0.63085726127201802</v>
      </c>
      <c r="J157" s="2">
        <f t="shared" si="107"/>
        <v>-0.307057121946266</v>
      </c>
      <c r="K157" s="2">
        <f t="shared" si="108"/>
        <v>3.4179583943374898</v>
      </c>
      <c r="L157" s="2">
        <f t="shared" si="109"/>
        <v>1.4684154288870199</v>
      </c>
      <c r="M157" s="2">
        <f t="shared" si="110"/>
        <v>0.32764553857617301</v>
      </c>
      <c r="N157" s="2">
        <f t="shared" si="111"/>
        <v>0.29350544256087602</v>
      </c>
      <c r="O157" s="2">
        <f t="shared" si="112"/>
        <v>0.45617277420268698</v>
      </c>
      <c r="P157" s="2">
        <f t="shared" si="113"/>
        <v>0.32463782135076202</v>
      </c>
      <c r="Q157" s="2">
        <f t="shared" si="114"/>
        <v>0.68472857647992302</v>
      </c>
      <c r="R157" s="2">
        <f t="shared" si="115"/>
        <v>5.34374018954699</v>
      </c>
      <c r="S157" s="2">
        <f t="shared" si="116"/>
        <v>0.48904278339625501</v>
      </c>
      <c r="T157" s="2">
        <f t="shared" si="117"/>
        <v>-0.218584270881126</v>
      </c>
      <c r="U157" s="2">
        <f t="shared" si="118"/>
        <v>0.34810699963090702</v>
      </c>
      <c r="V157" s="2">
        <f t="shared" si="119"/>
        <v>0.31405021583087001</v>
      </c>
      <c r="W157" s="2">
        <f t="shared" si="120"/>
        <v>0.17552560559470001</v>
      </c>
      <c r="X157" s="2">
        <f t="shared" si="121"/>
        <v>0.34668054178830898</v>
      </c>
      <c r="Y157" s="2">
        <f t="shared" si="122"/>
        <v>1.0884523767624901</v>
      </c>
      <c r="Z157" s="2">
        <f t="shared" si="123"/>
        <v>1.3116531291582201</v>
      </c>
      <c r="AA157" s="2">
        <f t="shared" si="124"/>
        <v>3.0945814195874801</v>
      </c>
      <c r="AB157" s="2">
        <f t="shared" si="125"/>
        <v>0.12817166657265</v>
      </c>
      <c r="AC157" s="2">
        <f t="shared" si="126"/>
        <v>1.5250544479425501</v>
      </c>
      <c r="AD157" s="2">
        <f t="shared" si="127"/>
        <v>7.4343151327999998E-2</v>
      </c>
      <c r="AE157" s="2">
        <f t="shared" si="128"/>
        <v>0.207937871743863</v>
      </c>
      <c r="AF157" s="2">
        <f t="shared" si="129"/>
        <v>0.124333248432896</v>
      </c>
      <c r="AG157" s="5">
        <f t="shared" si="130"/>
        <v>0.13004241811613601</v>
      </c>
      <c r="AH157" s="2">
        <f t="shared" si="131"/>
        <v>42.2030112990901</v>
      </c>
      <c r="AI157" s="2">
        <f t="shared" si="132"/>
        <v>0.52505444794254796</v>
      </c>
      <c r="AJ157" s="2">
        <f t="shared" si="133"/>
        <v>0.330422009640433</v>
      </c>
      <c r="AK157" s="2">
        <f t="shared" si="134"/>
        <v>0.147439293909367</v>
      </c>
      <c r="AL157" s="2">
        <f t="shared" si="135"/>
        <v>0.166635282024751</v>
      </c>
      <c r="AM157" s="2">
        <f t="shared" si="136"/>
        <v>5.34374018954699</v>
      </c>
      <c r="AN157" s="2">
        <f t="shared" si="137"/>
        <v>0.1011824542667</v>
      </c>
      <c r="AO157" s="2">
        <f t="shared" si="138"/>
        <v>0.55594699552702398</v>
      </c>
      <c r="AP157" s="2">
        <f t="shared" si="139"/>
        <v>3.5039668234509498</v>
      </c>
      <c r="AQ157" s="2">
        <f t="shared" si="140"/>
        <v>9.2714789542599998E-2</v>
      </c>
      <c r="AR157" s="2">
        <f t="shared" si="141"/>
        <v>0.48677396855246902</v>
      </c>
      <c r="AS157" s="2">
        <f t="shared" si="142"/>
        <v>0.73474350732829496</v>
      </c>
      <c r="AT157" s="2">
        <f t="shared" si="143"/>
        <v>0.12026636312293</v>
      </c>
      <c r="AU157" s="2">
        <f t="shared" si="144"/>
        <v>0.34840184836168198</v>
      </c>
      <c r="AV157" s="2">
        <f t="shared" si="145"/>
        <v>0.10154648170179199</v>
      </c>
      <c r="AW157" s="2">
        <f t="shared" si="146"/>
        <v>0.54263801537696199</v>
      </c>
      <c r="AX157" s="2">
        <f t="shared" si="147"/>
        <v>-1.83716382146E-2</v>
      </c>
      <c r="AY157" s="5">
        <f t="shared" si="148"/>
        <v>1.05068699326696</v>
      </c>
      <c r="AZ157" s="2">
        <f t="shared" si="149"/>
        <v>0.10939840947395001</v>
      </c>
      <c r="BA157" s="2">
        <f t="shared" si="150"/>
        <v>0.662487583100274</v>
      </c>
      <c r="BB157" s="2">
        <f t="shared" si="151"/>
        <v>6.2422862449066002E-2</v>
      </c>
      <c r="BC157" s="2">
        <f t="shared" si="152"/>
        <v>0.53124066983778295</v>
      </c>
      <c r="BD157" s="2">
        <f t="shared" si="153"/>
        <v>6.2417790659996003E-2</v>
      </c>
      <c r="BE157" s="2">
        <f t="shared" si="154"/>
        <v>-3.7580933774136099E-2</v>
      </c>
      <c r="BF157" s="2">
        <f t="shared" si="155"/>
        <v>0.32961160076780399</v>
      </c>
    </row>
    <row r="158" spans="1:58" s="2" customFormat="1" x14ac:dyDescent="0.15">
      <c r="A158" s="8">
        <v>230.5</v>
      </c>
      <c r="B158" s="4">
        <v>2.3651962633000002E-2</v>
      </c>
      <c r="C158" s="4">
        <v>4.78141930541E-2</v>
      </c>
      <c r="D158" s="4">
        <v>3.6509661075399998E-2</v>
      </c>
      <c r="E158" s="4">
        <v>0.14648772206300001</v>
      </c>
      <c r="F158" s="4">
        <v>0.23024195346000001</v>
      </c>
      <c r="G158" s="2">
        <f t="shared" si="104"/>
        <v>4.8153474680517903</v>
      </c>
      <c r="H158" s="2">
        <f t="shared" si="105"/>
        <v>0.1824277604059</v>
      </c>
      <c r="I158" s="2">
        <f t="shared" si="106"/>
        <v>0.65608245921889496</v>
      </c>
      <c r="J158" s="2">
        <f t="shared" si="107"/>
        <v>-0.26755428308145901</v>
      </c>
      <c r="K158" s="2">
        <f t="shared" si="108"/>
        <v>3.8153474680517898</v>
      </c>
      <c r="L158" s="2">
        <f t="shared" si="109"/>
        <v>1.5821449205474201</v>
      </c>
      <c r="M158" s="2">
        <f t="shared" si="110"/>
        <v>0.35169909245603698</v>
      </c>
      <c r="N158" s="2">
        <f t="shared" si="111"/>
        <v>0.31987895588190801</v>
      </c>
      <c r="O158" s="2">
        <f t="shared" si="112"/>
        <v>0.48308008860237001</v>
      </c>
      <c r="P158" s="2">
        <f t="shared" si="113"/>
        <v>0.34595903468026101</v>
      </c>
      <c r="Q158" s="2">
        <f t="shared" si="114"/>
        <v>0.72626474153501397</v>
      </c>
      <c r="R158" s="2">
        <f t="shared" si="115"/>
        <v>6.3063295215067301</v>
      </c>
      <c r="S158" s="2">
        <f t="shared" si="116"/>
        <v>0.52660482470768499</v>
      </c>
      <c r="T158" s="2">
        <f t="shared" si="117"/>
        <v>-0.13845973311854301</v>
      </c>
      <c r="U158" s="2">
        <f t="shared" si="118"/>
        <v>0.37899944788897899</v>
      </c>
      <c r="V158" s="2">
        <f t="shared" si="119"/>
        <v>0.34841905495353698</v>
      </c>
      <c r="W158" s="2">
        <f t="shared" si="120"/>
        <v>0.19373229238459999</v>
      </c>
      <c r="X158" s="2">
        <f t="shared" si="121"/>
        <v>0.37510123067738299</v>
      </c>
      <c r="Y158" s="2">
        <f t="shared" si="122"/>
        <v>1.1073683856490599</v>
      </c>
      <c r="Z158" s="2">
        <f t="shared" si="123"/>
        <v>1.51124063393111</v>
      </c>
      <c r="AA158" s="2">
        <f t="shared" si="124"/>
        <v>3.1384093472428001</v>
      </c>
      <c r="AB158" s="2">
        <f t="shared" si="125"/>
        <v>0.13337580726769999</v>
      </c>
      <c r="AC158" s="2">
        <f t="shared" si="126"/>
        <v>1.57174915561169</v>
      </c>
      <c r="AD158" s="2">
        <f t="shared" si="127"/>
        <v>8.3754231397000001E-2</v>
      </c>
      <c r="AE158" s="2">
        <f t="shared" si="128"/>
        <v>0.22231917695553699</v>
      </c>
      <c r="AF158" s="2">
        <f t="shared" si="129"/>
        <v>0.13645575030289001</v>
      </c>
      <c r="AG158" s="5">
        <f t="shared" si="130"/>
        <v>0.14329542001707299</v>
      </c>
      <c r="AH158" s="2">
        <f t="shared" si="131"/>
        <v>45.218911105276</v>
      </c>
      <c r="AI158" s="2">
        <f t="shared" si="132"/>
        <v>0.57174915561168904</v>
      </c>
      <c r="AJ158" s="2">
        <f t="shared" si="133"/>
        <v>0.35652601826600799</v>
      </c>
      <c r="AK158" s="2">
        <f t="shared" si="134"/>
        <v>0.16384881976626001</v>
      </c>
      <c r="AL158" s="2">
        <f t="shared" si="135"/>
        <v>0.18101273853704899</v>
      </c>
      <c r="AM158" s="2">
        <f t="shared" si="136"/>
        <v>6.3063295215067301</v>
      </c>
      <c r="AN158" s="2">
        <f t="shared" si="137"/>
        <v>0.1099780609876</v>
      </c>
      <c r="AO158" s="2">
        <f t="shared" si="138"/>
        <v>0.60098160477204299</v>
      </c>
      <c r="AP158" s="2">
        <f t="shared" si="139"/>
        <v>4.0123002445975198</v>
      </c>
      <c r="AQ158" s="2">
        <f t="shared" si="140"/>
        <v>9.8673529008900002E-2</v>
      </c>
      <c r="AR158" s="2">
        <f t="shared" si="141"/>
        <v>0.50783611139104001</v>
      </c>
      <c r="AS158" s="2">
        <f t="shared" si="142"/>
        <v>0.76155399217706898</v>
      </c>
      <c r="AT158" s="2">
        <f t="shared" si="143"/>
        <v>0.112624858331729</v>
      </c>
      <c r="AU158" s="2">
        <f t="shared" si="144"/>
        <v>0.345047315260889</v>
      </c>
      <c r="AV158" s="2">
        <f t="shared" si="145"/>
        <v>8.8349916965628397E-2</v>
      </c>
      <c r="AW158" s="2">
        <f t="shared" si="146"/>
        <v>0.55716368958300999</v>
      </c>
      <c r="AX158" s="2">
        <f t="shared" si="147"/>
        <v>-1.4919297611899999E-2</v>
      </c>
      <c r="AY158" s="5">
        <f t="shared" si="148"/>
        <v>1.0619671696541599</v>
      </c>
      <c r="AZ158" s="2">
        <f t="shared" si="149"/>
        <v>0.11961050101482</v>
      </c>
      <c r="BA158" s="2">
        <f t="shared" si="150"/>
        <v>0.63814227917147204</v>
      </c>
      <c r="BB158" s="2">
        <f t="shared" si="151"/>
        <v>7.4294506801519805E-2</v>
      </c>
      <c r="BC158" s="2">
        <f t="shared" si="152"/>
        <v>0.569681766720597</v>
      </c>
      <c r="BD158" s="2">
        <f t="shared" si="153"/>
        <v>6.8563554008872901E-2</v>
      </c>
      <c r="BE158" s="2">
        <f t="shared" si="154"/>
        <v>-3.3324612042204001E-2</v>
      </c>
      <c r="BF158" s="2">
        <f t="shared" si="155"/>
        <v>0.33885858984893702</v>
      </c>
    </row>
    <row r="159" spans="1:58" s="2" customFormat="1" x14ac:dyDescent="0.15">
      <c r="A159" s="8">
        <v>209.5</v>
      </c>
      <c r="B159" s="4">
        <v>2.2253904328799999E-2</v>
      </c>
      <c r="C159" s="4">
        <v>4.90907780118E-2</v>
      </c>
      <c r="D159" s="4">
        <v>3.3178320784200001E-2</v>
      </c>
      <c r="E159" s="4">
        <v>0.16634572872100001</v>
      </c>
      <c r="F159" s="4">
        <v>0.27254071982700001</v>
      </c>
      <c r="G159" s="2">
        <f t="shared" si="104"/>
        <v>5.5517702278315699</v>
      </c>
      <c r="H159" s="2">
        <f t="shared" si="105"/>
        <v>0.2234499418152</v>
      </c>
      <c r="I159" s="2">
        <f t="shared" si="106"/>
        <v>0.69473898954757196</v>
      </c>
      <c r="J159" s="2">
        <f t="shared" si="107"/>
        <v>-0.20032714147566599</v>
      </c>
      <c r="K159" s="2">
        <f t="shared" si="108"/>
        <v>4.5517702278315699</v>
      </c>
      <c r="L159" s="2">
        <f t="shared" si="109"/>
        <v>1.7782835119115401</v>
      </c>
      <c r="M159" s="2">
        <f t="shared" si="110"/>
        <v>0.40793824677417601</v>
      </c>
      <c r="N159" s="2">
        <f t="shared" si="111"/>
        <v>0.38534660809437099</v>
      </c>
      <c r="O159" s="2">
        <f t="shared" si="112"/>
        <v>0.53817479477304797</v>
      </c>
      <c r="P159" s="2">
        <f t="shared" si="113"/>
        <v>0.39400429793487801</v>
      </c>
      <c r="Q159" s="2">
        <f t="shared" si="114"/>
        <v>0.78294894084536404</v>
      </c>
      <c r="R159" s="2">
        <f t="shared" si="115"/>
        <v>8.2144217484565392</v>
      </c>
      <c r="S159" s="2">
        <f t="shared" si="116"/>
        <v>0.59619718902893104</v>
      </c>
      <c r="T159" s="2">
        <f t="shared" si="117"/>
        <v>-7.1859647601174598E-3</v>
      </c>
      <c r="U159" s="2">
        <f t="shared" si="118"/>
        <v>0.44561885777434002</v>
      </c>
      <c r="V159" s="2">
        <f t="shared" si="119"/>
        <v>0.42889211193629501</v>
      </c>
      <c r="W159" s="2">
        <f t="shared" si="120"/>
        <v>0.23936239904279999</v>
      </c>
      <c r="X159" s="2">
        <f t="shared" si="121"/>
        <v>0.43290707641336301</v>
      </c>
      <c r="Y159" s="2">
        <f t="shared" si="122"/>
        <v>1.1326733601729</v>
      </c>
      <c r="Z159" s="2">
        <f t="shared" si="123"/>
        <v>1.86608125294042</v>
      </c>
      <c r="AA159" s="2">
        <f t="shared" si="124"/>
        <v>3.22386927712191</v>
      </c>
      <c r="AB159" s="2">
        <f t="shared" si="125"/>
        <v>0.15285952030559999</v>
      </c>
      <c r="AC159" s="2">
        <f t="shared" si="126"/>
        <v>1.6383992659295401</v>
      </c>
      <c r="AD159" s="2">
        <f t="shared" si="127"/>
        <v>0.106194991106</v>
      </c>
      <c r="AE159" s="2">
        <f t="shared" si="128"/>
        <v>0.24196461626311899</v>
      </c>
      <c r="AF159" s="2">
        <f t="shared" si="129"/>
        <v>0.16029794219523999</v>
      </c>
      <c r="AG159" s="5">
        <f t="shared" si="130"/>
        <v>0.16966107765784399</v>
      </c>
      <c r="AH159" s="2">
        <f t="shared" si="131"/>
        <v>49.371970782189599</v>
      </c>
      <c r="AI159" s="2">
        <f t="shared" si="132"/>
        <v>0.638399265929535</v>
      </c>
      <c r="AJ159" s="2">
        <f t="shared" si="133"/>
        <v>0.39302675914407798</v>
      </c>
      <c r="AK159" s="2">
        <f t="shared" si="134"/>
        <v>0.19770227415522501</v>
      </c>
      <c r="AL159" s="2">
        <f t="shared" si="135"/>
        <v>0.20569206396575701</v>
      </c>
      <c r="AM159" s="2">
        <f t="shared" si="136"/>
        <v>8.2144217484565392</v>
      </c>
      <c r="AN159" s="2">
        <f t="shared" si="137"/>
        <v>0.13316740793679999</v>
      </c>
      <c r="AO159" s="2">
        <f t="shared" si="138"/>
        <v>0.66742534680426802</v>
      </c>
      <c r="AP159" s="2">
        <f t="shared" si="139"/>
        <v>5.0136873955422203</v>
      </c>
      <c r="AQ159" s="2">
        <f t="shared" si="140"/>
        <v>0.1172549507092</v>
      </c>
      <c r="AR159" s="2">
        <f t="shared" si="141"/>
        <v>0.54426685842352696</v>
      </c>
      <c r="AS159" s="2">
        <f t="shared" si="142"/>
        <v>0.79745481834713705</v>
      </c>
      <c r="AT159" s="2">
        <f t="shared" si="143"/>
        <v>0.100600551295982</v>
      </c>
      <c r="AU159" s="2">
        <f t="shared" si="144"/>
        <v>0.34088830311554502</v>
      </c>
      <c r="AV159" s="2">
        <f t="shared" si="145"/>
        <v>7.0283407997456096E-2</v>
      </c>
      <c r="AW159" s="2">
        <f t="shared" si="146"/>
        <v>0.57733755520994701</v>
      </c>
      <c r="AX159" s="2">
        <f t="shared" si="147"/>
        <v>-1.10599596032E-2</v>
      </c>
      <c r="AY159" s="5">
        <f t="shared" si="148"/>
        <v>1.07121262640901</v>
      </c>
      <c r="AZ159" s="2">
        <f t="shared" si="149"/>
        <v>0.13955145980952499</v>
      </c>
      <c r="BA159" s="2">
        <f t="shared" si="150"/>
        <v>0.59986384585000696</v>
      </c>
      <c r="BB159" s="2">
        <f t="shared" si="151"/>
        <v>0.10076975134506</v>
      </c>
      <c r="BC159" s="2">
        <f t="shared" si="152"/>
        <v>0.68130682611454996</v>
      </c>
      <c r="BD159" s="2">
        <f t="shared" si="153"/>
        <v>8.3282265988286405E-2</v>
      </c>
      <c r="BE159" s="2">
        <f t="shared" si="154"/>
        <v>-2.9996935913712001E-2</v>
      </c>
      <c r="BF159" s="2">
        <f t="shared" si="155"/>
        <v>0.34828132565395697</v>
      </c>
    </row>
    <row r="160" spans="1:58" s="2" customFormat="1" x14ac:dyDescent="0.15">
      <c r="A160" s="8">
        <v>233.5</v>
      </c>
      <c r="B160" s="4">
        <v>2.2481015642800001E-2</v>
      </c>
      <c r="C160" s="4">
        <v>4.8559797228499998E-2</v>
      </c>
      <c r="D160" s="4">
        <v>3.3802680569499997E-2</v>
      </c>
      <c r="E160" s="4">
        <v>0.15556560498700001</v>
      </c>
      <c r="F160" s="4">
        <v>0.24860320688400001</v>
      </c>
      <c r="G160" s="2">
        <f t="shared" si="104"/>
        <v>5.1195272853835903</v>
      </c>
      <c r="H160" s="2">
        <f t="shared" si="105"/>
        <v>0.20004340965549999</v>
      </c>
      <c r="I160" s="2">
        <f t="shared" si="106"/>
        <v>0.67317737028855595</v>
      </c>
      <c r="J160" s="2">
        <f t="shared" si="107"/>
        <v>-0.23889387833829101</v>
      </c>
      <c r="K160" s="2">
        <f t="shared" si="108"/>
        <v>4.1195272853835903</v>
      </c>
      <c r="L160" s="2">
        <f t="shared" si="109"/>
        <v>1.6652845236795</v>
      </c>
      <c r="M160" s="2">
        <f t="shared" si="110"/>
        <v>0.37641625732157402</v>
      </c>
      <c r="N160" s="2">
        <f t="shared" si="111"/>
        <v>0.34820347905441101</v>
      </c>
      <c r="O160" s="2">
        <f t="shared" si="112"/>
        <v>0.507587781847886</v>
      </c>
      <c r="P160" s="2">
        <f t="shared" si="113"/>
        <v>0.36696688741008499</v>
      </c>
      <c r="Q160" s="2">
        <f t="shared" si="114"/>
        <v>0.76060923605874997</v>
      </c>
      <c r="R160" s="2">
        <f t="shared" si="115"/>
        <v>7.3545411989696898</v>
      </c>
      <c r="S160" s="2">
        <f t="shared" si="116"/>
        <v>0.56321269131168505</v>
      </c>
      <c r="T160" s="2">
        <f t="shared" si="117"/>
        <v>-6.2391634529470698E-2</v>
      </c>
      <c r="U160" s="2">
        <f t="shared" si="118"/>
        <v>0.41180772619237099</v>
      </c>
      <c r="V160" s="2">
        <f t="shared" si="119"/>
        <v>0.38693248823510401</v>
      </c>
      <c r="W160" s="2">
        <f t="shared" si="120"/>
        <v>0.2148005263145</v>
      </c>
      <c r="X160" s="2">
        <f t="shared" si="121"/>
        <v>0.40420200917992599</v>
      </c>
      <c r="Y160" s="2">
        <f t="shared" si="122"/>
        <v>1.1227685585456799</v>
      </c>
      <c r="Z160" s="2">
        <f t="shared" si="123"/>
        <v>1.71192573625638</v>
      </c>
      <c r="AA160" s="2">
        <f t="shared" si="124"/>
        <v>3.18232042900947</v>
      </c>
      <c r="AB160" s="2">
        <f t="shared" si="125"/>
        <v>0.14120294372674999</v>
      </c>
      <c r="AC160" s="2">
        <f t="shared" si="126"/>
        <v>1.5980602325608899</v>
      </c>
      <c r="AD160" s="2">
        <f t="shared" si="127"/>
        <v>9.3037601897E-2</v>
      </c>
      <c r="AE160" s="2">
        <f t="shared" si="128"/>
        <v>0.23019490659436401</v>
      </c>
      <c r="AF160" s="2">
        <f t="shared" si="129"/>
        <v>0.14634473710538301</v>
      </c>
      <c r="AG160" s="5">
        <f t="shared" si="130"/>
        <v>0.154347729111244</v>
      </c>
      <c r="AH160" s="2">
        <f t="shared" si="131"/>
        <v>46.879053909987597</v>
      </c>
      <c r="AI160" s="2">
        <f t="shared" si="132"/>
        <v>0.59806023256088503</v>
      </c>
      <c r="AJ160" s="2">
        <f t="shared" si="133"/>
        <v>0.37103964663113398</v>
      </c>
      <c r="AK160" s="2">
        <f t="shared" si="134"/>
        <v>0.17836829334159901</v>
      </c>
      <c r="AL160" s="2">
        <f t="shared" si="135"/>
        <v>0.191296675621972</v>
      </c>
      <c r="AM160" s="2">
        <f t="shared" si="136"/>
        <v>7.3545411989696898</v>
      </c>
      <c r="AN160" s="2">
        <f t="shared" si="137"/>
        <v>0.1217629244175</v>
      </c>
      <c r="AO160" s="2">
        <f t="shared" si="138"/>
        <v>0.64299533609692405</v>
      </c>
      <c r="AP160" s="2">
        <f t="shared" si="139"/>
        <v>4.6021677087753297</v>
      </c>
      <c r="AQ160" s="2">
        <f t="shared" si="140"/>
        <v>0.10700580775849999</v>
      </c>
      <c r="AR160" s="2">
        <f t="shared" si="141"/>
        <v>0.524216028956217</v>
      </c>
      <c r="AS160" s="2">
        <f t="shared" si="142"/>
        <v>0.76408810269695204</v>
      </c>
      <c r="AT160" s="2">
        <f t="shared" si="143"/>
        <v>0.107260279674147</v>
      </c>
      <c r="AU160" s="2">
        <f t="shared" si="144"/>
        <v>0.34361779189618202</v>
      </c>
      <c r="AV160" s="2">
        <f t="shared" si="145"/>
        <v>7.7180093117800802E-2</v>
      </c>
      <c r="AW160" s="2">
        <f t="shared" si="146"/>
        <v>0.56762417457518299</v>
      </c>
      <c r="AX160" s="2">
        <f t="shared" si="147"/>
        <v>-1.3968205861500001E-2</v>
      </c>
      <c r="AY160" s="5">
        <f t="shared" si="148"/>
        <v>1.0737695717365201</v>
      </c>
      <c r="AZ160" s="2">
        <f t="shared" si="149"/>
        <v>0.127953688466624</v>
      </c>
      <c r="BA160" s="2">
        <f t="shared" si="150"/>
        <v>0.61930526303086997</v>
      </c>
      <c r="BB160" s="2">
        <f t="shared" si="151"/>
        <v>8.4743408173158702E-2</v>
      </c>
      <c r="BC160" s="2">
        <f t="shared" si="152"/>
        <v>0.61777637539525698</v>
      </c>
      <c r="BD160" s="2">
        <f t="shared" si="153"/>
        <v>7.3154298269189802E-2</v>
      </c>
      <c r="BE160" s="2">
        <f t="shared" si="154"/>
        <v>-3.2954913371580102E-2</v>
      </c>
      <c r="BF160" s="2">
        <f t="shared" si="155"/>
        <v>0.341952829602237</v>
      </c>
    </row>
    <row r="161" spans="1:58" s="2" customFormat="1" x14ac:dyDescent="0.15">
      <c r="A161" s="8">
        <v>235</v>
      </c>
      <c r="B161" s="4">
        <v>2.3328277462700001E-2</v>
      </c>
      <c r="C161" s="4">
        <v>4.76486242502E-2</v>
      </c>
      <c r="D161" s="4">
        <v>3.43656387769E-2</v>
      </c>
      <c r="E161" s="4">
        <v>0.151756878969</v>
      </c>
      <c r="F161" s="4">
        <v>0.24671913220899999</v>
      </c>
      <c r="G161" s="2">
        <f t="shared" si="104"/>
        <v>5.1778857436364403</v>
      </c>
      <c r="H161" s="2">
        <f t="shared" si="105"/>
        <v>0.19907050795879999</v>
      </c>
      <c r="I161" s="2">
        <f t="shared" si="106"/>
        <v>0.67626465056267704</v>
      </c>
      <c r="J161" s="2">
        <f t="shared" si="107"/>
        <v>-0.23354277446921401</v>
      </c>
      <c r="K161" s="2">
        <f t="shared" si="108"/>
        <v>4.1778857436364403</v>
      </c>
      <c r="L161" s="2">
        <f t="shared" si="109"/>
        <v>1.6808796633046299</v>
      </c>
      <c r="M161" s="2">
        <f t="shared" si="110"/>
        <v>0.37590367875604602</v>
      </c>
      <c r="N161" s="2">
        <f t="shared" si="111"/>
        <v>0.34740916928625698</v>
      </c>
      <c r="O161" s="2">
        <f t="shared" si="112"/>
        <v>0.50822662028603605</v>
      </c>
      <c r="P161" s="2">
        <f t="shared" si="113"/>
        <v>0.36691190700506399</v>
      </c>
      <c r="Q161" s="2">
        <f t="shared" si="114"/>
        <v>0.75547847251657796</v>
      </c>
      <c r="R161" s="2">
        <f t="shared" si="115"/>
        <v>7.1792389430235302</v>
      </c>
      <c r="S161" s="2">
        <f t="shared" si="116"/>
        <v>0.55846419687228399</v>
      </c>
      <c r="T161" s="2">
        <f t="shared" si="117"/>
        <v>-7.4397357817232598E-2</v>
      </c>
      <c r="U161" s="2">
        <f t="shared" si="118"/>
        <v>0.40780495533934802</v>
      </c>
      <c r="V161" s="2">
        <f t="shared" si="119"/>
        <v>0.38218864577094902</v>
      </c>
      <c r="W161" s="2">
        <f t="shared" si="120"/>
        <v>0.2123534934321</v>
      </c>
      <c r="X161" s="2">
        <f t="shared" si="121"/>
        <v>0.40053525793822697</v>
      </c>
      <c r="Y161" s="2">
        <f t="shared" si="122"/>
        <v>1.12048135750515</v>
      </c>
      <c r="Z161" s="2">
        <f t="shared" si="123"/>
        <v>1.67941018566093</v>
      </c>
      <c r="AA161" s="2">
        <f t="shared" si="124"/>
        <v>3.1758280431935701</v>
      </c>
      <c r="AB161" s="2">
        <f t="shared" si="125"/>
        <v>0.14054238549295001</v>
      </c>
      <c r="AC161" s="2">
        <f t="shared" si="126"/>
        <v>1.62575254502564</v>
      </c>
      <c r="AD161" s="2">
        <f t="shared" si="127"/>
        <v>9.4962253240000002E-2</v>
      </c>
      <c r="AE161" s="2">
        <f t="shared" si="128"/>
        <v>0.23831360126113099</v>
      </c>
      <c r="AF161" s="2">
        <f t="shared" si="129"/>
        <v>0.15043535672672101</v>
      </c>
      <c r="AG161" s="5">
        <f t="shared" si="130"/>
        <v>0.15853887926650501</v>
      </c>
      <c r="AH161" s="2">
        <f t="shared" si="131"/>
        <v>48.597081321300998</v>
      </c>
      <c r="AI161" s="2">
        <f t="shared" si="132"/>
        <v>0.62575254502564104</v>
      </c>
      <c r="AJ161" s="2">
        <f t="shared" si="133"/>
        <v>0.38616750575803099</v>
      </c>
      <c r="AK161" s="2">
        <f t="shared" si="134"/>
        <v>0.182366095398589</v>
      </c>
      <c r="AL161" s="2">
        <f t="shared" si="135"/>
        <v>0.19724430692384801</v>
      </c>
      <c r="AM161" s="2">
        <f t="shared" si="136"/>
        <v>7.1792389430235302</v>
      </c>
      <c r="AN161" s="2">
        <f t="shared" si="137"/>
        <v>0.1173912401921</v>
      </c>
      <c r="AO161" s="2">
        <f t="shared" si="138"/>
        <v>0.63072024607127897</v>
      </c>
      <c r="AP161" s="2">
        <f t="shared" si="139"/>
        <v>4.4159481496676998</v>
      </c>
      <c r="AQ161" s="2">
        <f t="shared" si="140"/>
        <v>0.1041082547188</v>
      </c>
      <c r="AR161" s="2">
        <f t="shared" si="141"/>
        <v>0.52209318718930797</v>
      </c>
      <c r="AS161" s="2">
        <f t="shared" si="142"/>
        <v>0.80893815487938403</v>
      </c>
      <c r="AT161" s="2">
        <f t="shared" si="143"/>
        <v>0.106805633372983</v>
      </c>
      <c r="AU161" s="2">
        <f t="shared" si="144"/>
        <v>0.34016700024498903</v>
      </c>
      <c r="AV161" s="2">
        <f t="shared" si="145"/>
        <v>7.9395406566074994E-2</v>
      </c>
      <c r="AW161" s="2">
        <f t="shared" si="146"/>
        <v>0.56999859471635195</v>
      </c>
      <c r="AX161" s="2">
        <f t="shared" si="147"/>
        <v>-9.1460014788000091E-3</v>
      </c>
      <c r="AY161" s="5">
        <f t="shared" si="148"/>
        <v>1.06672502928485</v>
      </c>
      <c r="AZ161" s="2">
        <f t="shared" si="149"/>
        <v>0.13189965947198201</v>
      </c>
      <c r="BA161" s="2">
        <f t="shared" si="150"/>
        <v>0.62754890896735305</v>
      </c>
      <c r="BB161" s="2">
        <f t="shared" si="151"/>
        <v>8.9657247895586198E-2</v>
      </c>
      <c r="BC161" s="2">
        <f t="shared" si="152"/>
        <v>0.61428998302888105</v>
      </c>
      <c r="BD161" s="2">
        <f t="shared" si="153"/>
        <v>7.7746220284606496E-2</v>
      </c>
      <c r="BE161" s="2">
        <f t="shared" si="154"/>
        <v>-2.5663232695728001E-2</v>
      </c>
      <c r="BF161" s="2">
        <f t="shared" si="155"/>
        <v>0.35239695149354</v>
      </c>
    </row>
    <row r="162" spans="1:58" s="2" customFormat="1" x14ac:dyDescent="0.15">
      <c r="A162" s="8">
        <v>232</v>
      </c>
      <c r="B162" s="4">
        <v>2.32331094823E-2</v>
      </c>
      <c r="C162" s="4">
        <v>4.5397781820200003E-2</v>
      </c>
      <c r="D162" s="4">
        <v>3.4880271502699997E-2</v>
      </c>
      <c r="E162" s="4">
        <v>0.14031286922799999</v>
      </c>
      <c r="F162" s="4">
        <v>0.23034071279000001</v>
      </c>
      <c r="G162" s="2">
        <f t="shared" si="104"/>
        <v>5.0738318824094701</v>
      </c>
      <c r="H162" s="2">
        <f t="shared" si="105"/>
        <v>0.1849429309698</v>
      </c>
      <c r="I162" s="2">
        <f t="shared" si="106"/>
        <v>0.67071857787301703</v>
      </c>
      <c r="J162" s="2">
        <f t="shared" si="107"/>
        <v>-0.24311637833003799</v>
      </c>
      <c r="K162" s="2">
        <f t="shared" si="108"/>
        <v>4.0738318824094701</v>
      </c>
      <c r="L162" s="2">
        <f t="shared" si="109"/>
        <v>1.65299568259068</v>
      </c>
      <c r="M162" s="2">
        <f t="shared" si="110"/>
        <v>0.35761329156947103</v>
      </c>
      <c r="N162" s="2">
        <f t="shared" si="111"/>
        <v>0.32597491945554202</v>
      </c>
      <c r="O162" s="2">
        <f t="shared" si="112"/>
        <v>0.492345300171113</v>
      </c>
      <c r="P162" s="2">
        <f t="shared" si="113"/>
        <v>0.35219974396318299</v>
      </c>
      <c r="Q162" s="2">
        <f t="shared" si="114"/>
        <v>0.73697200773370297</v>
      </c>
      <c r="R162" s="2">
        <f t="shared" si="115"/>
        <v>6.6037534361557304</v>
      </c>
      <c r="S162" s="2">
        <f t="shared" si="116"/>
        <v>0.53321477600737599</v>
      </c>
      <c r="T162" s="2">
        <f t="shared" si="117"/>
        <v>-0.11579097878111599</v>
      </c>
      <c r="U162" s="2">
        <f t="shared" si="118"/>
        <v>0.38314508873792602</v>
      </c>
      <c r="V162" s="2">
        <f t="shared" si="119"/>
        <v>0.352879888088939</v>
      </c>
      <c r="W162" s="2">
        <f t="shared" si="120"/>
        <v>0.1954604412873</v>
      </c>
      <c r="X162" s="2">
        <f t="shared" si="121"/>
        <v>0.37953771070608699</v>
      </c>
      <c r="Y162" s="2">
        <f t="shared" si="122"/>
        <v>1.11219243287019</v>
      </c>
      <c r="Z162" s="2">
        <f t="shared" si="123"/>
        <v>1.5697769234226799</v>
      </c>
      <c r="AA162" s="2">
        <f t="shared" si="124"/>
        <v>3.1490916696246201</v>
      </c>
      <c r="AB162" s="2">
        <f t="shared" si="125"/>
        <v>0.13261049214635001</v>
      </c>
      <c r="AC162" s="2">
        <f t="shared" si="126"/>
        <v>1.6416221409863001</v>
      </c>
      <c r="AD162" s="2">
        <f t="shared" si="127"/>
        <v>9.0027843561999998E-2</v>
      </c>
      <c r="AE162" s="2">
        <f t="shared" si="128"/>
        <v>0.24288944699211901</v>
      </c>
      <c r="AF162" s="2">
        <f t="shared" si="129"/>
        <v>0.14787431533794901</v>
      </c>
      <c r="AG162" s="5">
        <f t="shared" si="130"/>
        <v>0.15510389910761099</v>
      </c>
      <c r="AH162" s="2">
        <f t="shared" si="131"/>
        <v>49.568486334627998</v>
      </c>
      <c r="AI162" s="2">
        <f t="shared" si="132"/>
        <v>0.64162214098629999</v>
      </c>
      <c r="AJ162" s="2">
        <f t="shared" si="133"/>
        <v>0.39476986587385499</v>
      </c>
      <c r="AK162" s="2">
        <f t="shared" si="134"/>
        <v>0.17647420564115901</v>
      </c>
      <c r="AL162" s="2">
        <f t="shared" si="135"/>
        <v>0.19679938489207799</v>
      </c>
      <c r="AM162" s="2">
        <f t="shared" si="136"/>
        <v>6.6037534361557304</v>
      </c>
      <c r="AN162" s="2">
        <f t="shared" si="137"/>
        <v>0.1054325977253</v>
      </c>
      <c r="AO162" s="2">
        <f t="shared" si="138"/>
        <v>0.60180779501731096</v>
      </c>
      <c r="AP162" s="2">
        <f t="shared" si="139"/>
        <v>4.0227000302202001</v>
      </c>
      <c r="AQ162" s="2">
        <f t="shared" si="140"/>
        <v>9.4915087407799997E-2</v>
      </c>
      <c r="AR162" s="2">
        <f t="shared" si="141"/>
        <v>0.51109124259741801</v>
      </c>
      <c r="AS162" s="2">
        <f t="shared" si="142"/>
        <v>0.85389002551718995</v>
      </c>
      <c r="AT162" s="2">
        <f t="shared" si="143"/>
        <v>0.109115810609036</v>
      </c>
      <c r="AU162" s="2">
        <f t="shared" si="144"/>
        <v>0.33724891064788498</v>
      </c>
      <c r="AV162" s="2">
        <f t="shared" si="145"/>
        <v>8.6010751506642294E-2</v>
      </c>
      <c r="AW162" s="2">
        <f t="shared" si="146"/>
        <v>0.56799379580832599</v>
      </c>
      <c r="AX162" s="2">
        <f t="shared" si="147"/>
        <v>-4.8872438457999599E-3</v>
      </c>
      <c r="AY162" s="5">
        <f t="shared" si="148"/>
        <v>1.0568689501261199</v>
      </c>
      <c r="AZ162" s="2">
        <f t="shared" si="149"/>
        <v>0.129967729187838</v>
      </c>
      <c r="BA162" s="2">
        <f t="shared" si="150"/>
        <v>0.64612551839920096</v>
      </c>
      <c r="BB162" s="2">
        <f t="shared" si="151"/>
        <v>8.7070419236845206E-2</v>
      </c>
      <c r="BC162" s="2">
        <f t="shared" si="152"/>
        <v>0.57301207170734503</v>
      </c>
      <c r="BD162" s="2">
        <f t="shared" si="153"/>
        <v>7.75602178234895E-2</v>
      </c>
      <c r="BE162" s="2">
        <f t="shared" si="154"/>
        <v>-1.8427441626887898E-2</v>
      </c>
      <c r="BF162" s="2">
        <f t="shared" si="155"/>
        <v>0.36213317329358902</v>
      </c>
    </row>
    <row r="163" spans="1:58" s="2" customFormat="1" x14ac:dyDescent="0.15">
      <c r="A163" s="8">
        <v>234.5</v>
      </c>
      <c r="B163" s="4">
        <v>2.4887321822899999E-2</v>
      </c>
      <c r="C163" s="4">
        <v>4.7299122580799997E-2</v>
      </c>
      <c r="D163" s="4">
        <v>3.7215618104200002E-2</v>
      </c>
      <c r="E163" s="4">
        <v>0.14638831146600001</v>
      </c>
      <c r="F163" s="4">
        <v>0.244793929814</v>
      </c>
      <c r="G163" s="2">
        <f t="shared" si="104"/>
        <v>5.1754433582953698</v>
      </c>
      <c r="H163" s="2">
        <f t="shared" si="105"/>
        <v>0.19749480723320001</v>
      </c>
      <c r="I163" s="2">
        <f t="shared" si="106"/>
        <v>0.67613661336340602</v>
      </c>
      <c r="J163" s="2">
        <f t="shared" si="107"/>
        <v>-0.23376579886725701</v>
      </c>
      <c r="K163" s="2">
        <f t="shared" si="108"/>
        <v>4.1754433582953698</v>
      </c>
      <c r="L163" s="2">
        <f t="shared" si="109"/>
        <v>1.6802291901905999</v>
      </c>
      <c r="M163" s="2">
        <f t="shared" si="110"/>
        <v>0.37399925419639302</v>
      </c>
      <c r="N163" s="2">
        <f t="shared" si="111"/>
        <v>0.34513359475261102</v>
      </c>
      <c r="O163" s="2">
        <f t="shared" si="112"/>
        <v>0.50674075873754099</v>
      </c>
      <c r="P163" s="2">
        <f t="shared" si="113"/>
        <v>0.36542231748966097</v>
      </c>
      <c r="Q163" s="2">
        <f t="shared" si="114"/>
        <v>0.73606838223084003</v>
      </c>
      <c r="R163" s="2">
        <f t="shared" si="115"/>
        <v>6.5777203841839098</v>
      </c>
      <c r="S163" s="2">
        <f t="shared" si="116"/>
        <v>0.54476389190563301</v>
      </c>
      <c r="T163" s="2">
        <f t="shared" si="117"/>
        <v>-0.117739026524126</v>
      </c>
      <c r="U163" s="2">
        <f t="shared" si="118"/>
        <v>0.39816325567072203</v>
      </c>
      <c r="V163" s="2">
        <f t="shared" si="119"/>
        <v>0.37121478897744098</v>
      </c>
      <c r="W163" s="2">
        <f t="shared" si="120"/>
        <v>0.20757831170980001</v>
      </c>
      <c r="X163" s="2">
        <f t="shared" si="121"/>
        <v>0.39088595790389002</v>
      </c>
      <c r="Y163" s="2">
        <f t="shared" si="122"/>
        <v>1.11178612252125</v>
      </c>
      <c r="Z163" s="2">
        <f t="shared" si="123"/>
        <v>1.5647066857993499</v>
      </c>
      <c r="AA163" s="2">
        <f t="shared" si="124"/>
        <v>3.1544347955986298</v>
      </c>
      <c r="AB163" s="2">
        <f t="shared" si="125"/>
        <v>0.14100477395909999</v>
      </c>
      <c r="AC163" s="2">
        <f t="shared" si="126"/>
        <v>1.6722231943419601</v>
      </c>
      <c r="AD163" s="2">
        <f t="shared" si="127"/>
        <v>9.8405618348000004E-2</v>
      </c>
      <c r="AE163" s="2">
        <f t="shared" si="128"/>
        <v>0.251559523832176</v>
      </c>
      <c r="AF163" s="2">
        <f t="shared" si="129"/>
        <v>0.157336805910231</v>
      </c>
      <c r="AG163" s="5">
        <f t="shared" si="130"/>
        <v>0.16563214647319599</v>
      </c>
      <c r="AH163" s="2">
        <f t="shared" si="131"/>
        <v>51.4153995192558</v>
      </c>
      <c r="AI163" s="2">
        <f t="shared" si="132"/>
        <v>0.67222319434195799</v>
      </c>
      <c r="AJ163" s="2">
        <f t="shared" si="133"/>
        <v>0.41122274581740598</v>
      </c>
      <c r="AK163" s="2">
        <f t="shared" si="134"/>
        <v>0.18875527532234199</v>
      </c>
      <c r="AL163" s="2">
        <f t="shared" si="135"/>
        <v>0.20710122484822899</v>
      </c>
      <c r="AM163" s="2">
        <f t="shared" si="136"/>
        <v>6.5777203841839098</v>
      </c>
      <c r="AN163" s="2">
        <f t="shared" si="137"/>
        <v>0.10917269336179999</v>
      </c>
      <c r="AO163" s="2">
        <f t="shared" si="138"/>
        <v>0.59460978649729002</v>
      </c>
      <c r="AP163" s="2">
        <f t="shared" si="139"/>
        <v>3.9335182088371399</v>
      </c>
      <c r="AQ163" s="2">
        <f t="shared" si="140"/>
        <v>9.9089188885200005E-2</v>
      </c>
      <c r="AR163" s="2">
        <f t="shared" si="141"/>
        <v>0.51159327590274895</v>
      </c>
      <c r="AS163" s="2">
        <f t="shared" si="142"/>
        <v>0.90137574990370795</v>
      </c>
      <c r="AT163" s="2">
        <f t="shared" si="143"/>
        <v>0.107870314405917</v>
      </c>
      <c r="AU163" s="2">
        <f t="shared" si="144"/>
        <v>0.333852983344743</v>
      </c>
      <c r="AV163" s="2">
        <f t="shared" si="145"/>
        <v>8.6871624796854799E-2</v>
      </c>
      <c r="AW163" s="2">
        <f t="shared" si="146"/>
        <v>0.57141725723344805</v>
      </c>
      <c r="AX163" s="2">
        <f t="shared" si="147"/>
        <v>-6.8357053720002198E-4</v>
      </c>
      <c r="AY163" s="5">
        <f t="shared" si="148"/>
        <v>1.0510570612861401</v>
      </c>
      <c r="AZ163" s="2">
        <f t="shared" si="149"/>
        <v>0.139118285158639</v>
      </c>
      <c r="BA163" s="2">
        <f t="shared" si="150"/>
        <v>0.65075616363517597</v>
      </c>
      <c r="BB163" s="2">
        <f t="shared" si="151"/>
        <v>9.8505077971597896E-2</v>
      </c>
      <c r="BC163" s="2">
        <f t="shared" si="152"/>
        <v>0.61141455750257001</v>
      </c>
      <c r="BD163" s="2">
        <f t="shared" si="153"/>
        <v>8.6946494553916495E-2</v>
      </c>
      <c r="BE163" s="2">
        <f t="shared" si="154"/>
        <v>-1.2875044239791999E-2</v>
      </c>
      <c r="BF163" s="2">
        <f t="shared" si="155"/>
        <v>0.37205428438611798</v>
      </c>
    </row>
    <row r="164" spans="1:58" s="2" customFormat="1" x14ac:dyDescent="0.15">
      <c r="A164" s="8">
        <v>209</v>
      </c>
      <c r="B164" s="4">
        <v>2.41605855357E-2</v>
      </c>
      <c r="C164" s="4">
        <v>4.7306872471800002E-2</v>
      </c>
      <c r="D164" s="4">
        <v>3.7292723986899999E-2</v>
      </c>
      <c r="E164" s="4">
        <v>0.14365687873300001</v>
      </c>
      <c r="F164" s="4">
        <v>0.22386664446099999</v>
      </c>
      <c r="G164" s="2">
        <f t="shared" si="104"/>
        <v>4.7322224607946497</v>
      </c>
      <c r="H164" s="2">
        <f t="shared" si="105"/>
        <v>0.1765597719892</v>
      </c>
      <c r="I164" s="2">
        <f t="shared" si="106"/>
        <v>0.65109518800448896</v>
      </c>
      <c r="J164" s="2">
        <f t="shared" si="107"/>
        <v>-0.27561865176505701</v>
      </c>
      <c r="K164" s="2">
        <f t="shared" si="108"/>
        <v>3.7322224607946501</v>
      </c>
      <c r="L164" s="2">
        <f t="shared" si="109"/>
        <v>1.5588560179778199</v>
      </c>
      <c r="M164" s="2">
        <f t="shared" si="110"/>
        <v>0.343424212798633</v>
      </c>
      <c r="N164" s="2">
        <f t="shared" si="111"/>
        <v>0.31051041191475198</v>
      </c>
      <c r="O164" s="2">
        <f t="shared" si="112"/>
        <v>0.47500444128481201</v>
      </c>
      <c r="P164" s="2">
        <f t="shared" si="113"/>
        <v>0.33905341457849703</v>
      </c>
      <c r="Q164" s="2">
        <f t="shared" si="114"/>
        <v>0.714406385583371</v>
      </c>
      <c r="R164" s="2">
        <f t="shared" si="115"/>
        <v>6.0029576959741204</v>
      </c>
      <c r="S164" s="2">
        <f t="shared" si="116"/>
        <v>0.513880882069774</v>
      </c>
      <c r="T164" s="2">
        <f t="shared" si="117"/>
        <v>-0.162550804290682</v>
      </c>
      <c r="U164" s="2">
        <f t="shared" si="118"/>
        <v>0.36767711508540102</v>
      </c>
      <c r="V164" s="2">
        <f t="shared" si="119"/>
        <v>0.33549172506605801</v>
      </c>
      <c r="W164" s="2">
        <f t="shared" si="120"/>
        <v>0.18657392047410001</v>
      </c>
      <c r="X164" s="2">
        <f t="shared" si="121"/>
        <v>0.36508848265868499</v>
      </c>
      <c r="Y164" s="2">
        <f t="shared" si="122"/>
        <v>1.1020010823875701</v>
      </c>
      <c r="Z164" s="2">
        <f t="shared" si="123"/>
        <v>1.4500934055611301</v>
      </c>
      <c r="AA164" s="2">
        <f t="shared" si="124"/>
        <v>3.1247513518571699</v>
      </c>
      <c r="AB164" s="2">
        <f t="shared" si="125"/>
        <v>0.13057968422395</v>
      </c>
      <c r="AC164" s="2">
        <f t="shared" si="126"/>
        <v>1.5583426734272701</v>
      </c>
      <c r="AD164" s="2">
        <f t="shared" si="127"/>
        <v>8.0209765727999996E-2</v>
      </c>
      <c r="AE164" s="2">
        <f t="shared" si="128"/>
        <v>0.21824389642036801</v>
      </c>
      <c r="AF164" s="2">
        <f t="shared" si="129"/>
        <v>0.13230756517842701</v>
      </c>
      <c r="AG164" s="5">
        <f t="shared" si="130"/>
        <v>0.138687476910173</v>
      </c>
      <c r="AH164" s="2">
        <f t="shared" si="131"/>
        <v>44.362286769774499</v>
      </c>
      <c r="AI164" s="2">
        <f t="shared" si="132"/>
        <v>0.55834267342726696</v>
      </c>
      <c r="AJ164" s="2">
        <f t="shared" si="133"/>
        <v>0.34907718428240497</v>
      </c>
      <c r="AK164" s="2">
        <f t="shared" si="134"/>
        <v>0.15806761839815101</v>
      </c>
      <c r="AL164" s="2">
        <f t="shared" si="135"/>
        <v>0.17637759105249001</v>
      </c>
      <c r="AM164" s="2">
        <f t="shared" si="136"/>
        <v>6.0029576959741204</v>
      </c>
      <c r="AN164" s="2">
        <f t="shared" si="137"/>
        <v>0.1063641547461</v>
      </c>
      <c r="AO164" s="2">
        <f t="shared" si="138"/>
        <v>0.58781093269790596</v>
      </c>
      <c r="AP164" s="2">
        <f t="shared" si="139"/>
        <v>3.8521422780342598</v>
      </c>
      <c r="AQ164" s="2">
        <f t="shared" si="140"/>
        <v>9.6350006261199994E-2</v>
      </c>
      <c r="AR164" s="2">
        <f t="shared" si="141"/>
        <v>0.50454604946395798</v>
      </c>
      <c r="AS164" s="2">
        <f t="shared" si="142"/>
        <v>0.754105233285286</v>
      </c>
      <c r="AT164" s="2">
        <f t="shared" si="143"/>
        <v>0.114039069861004</v>
      </c>
      <c r="AU164" s="2">
        <f t="shared" si="144"/>
        <v>0.34630268233462402</v>
      </c>
      <c r="AV164" s="2">
        <f t="shared" si="145"/>
        <v>9.2122596972337004E-2</v>
      </c>
      <c r="AW164" s="2">
        <f t="shared" si="146"/>
        <v>0.55300805246821205</v>
      </c>
      <c r="AX164" s="2">
        <f t="shared" si="147"/>
        <v>-1.6140240533200002E-2</v>
      </c>
      <c r="AY164" s="5">
        <f t="shared" si="148"/>
        <v>1.05671817748786</v>
      </c>
      <c r="AZ164" s="2">
        <f t="shared" si="149"/>
        <v>0.115842678230782</v>
      </c>
      <c r="BA164" s="2">
        <f t="shared" si="150"/>
        <v>0.64059086410306698</v>
      </c>
      <c r="BB164" s="2">
        <f t="shared" si="151"/>
        <v>6.99661753392746E-2</v>
      </c>
      <c r="BC164" s="2">
        <f t="shared" si="152"/>
        <v>0.55286540437171905</v>
      </c>
      <c r="BD164" s="2">
        <f t="shared" si="153"/>
        <v>6.6181635969950706E-2</v>
      </c>
      <c r="BE164" s="2">
        <f t="shared" si="154"/>
        <v>-3.48039471191521E-2</v>
      </c>
      <c r="BF164" s="2">
        <f t="shared" si="155"/>
        <v>0.33519506892571799</v>
      </c>
    </row>
    <row r="165" spans="1:58" s="2" customFormat="1" x14ac:dyDescent="0.15">
      <c r="A165" s="8">
        <v>214</v>
      </c>
      <c r="B165" s="4">
        <v>2.4020720566900002E-2</v>
      </c>
      <c r="C165" s="4">
        <v>4.8307836394399999E-2</v>
      </c>
      <c r="D165" s="4">
        <v>3.83957416013E-2</v>
      </c>
      <c r="E165" s="4">
        <v>0.143469519676</v>
      </c>
      <c r="F165" s="4">
        <v>0.21994772547499999</v>
      </c>
      <c r="G165" s="2">
        <f t="shared" si="104"/>
        <v>4.5530444311204397</v>
      </c>
      <c r="H165" s="2">
        <f t="shared" si="105"/>
        <v>0.17163988908059999</v>
      </c>
      <c r="I165" s="2">
        <f t="shared" si="106"/>
        <v>0.63983720555312396</v>
      </c>
      <c r="J165" s="2">
        <f t="shared" si="107"/>
        <v>-0.29335543092959598</v>
      </c>
      <c r="K165" s="2">
        <f t="shared" si="108"/>
        <v>3.5530444311204401</v>
      </c>
      <c r="L165" s="2">
        <f t="shared" si="109"/>
        <v>1.5077698829775701</v>
      </c>
      <c r="M165" s="2">
        <f t="shared" si="110"/>
        <v>0.33512264199483499</v>
      </c>
      <c r="N165" s="2">
        <f t="shared" si="111"/>
        <v>0.30156399102129799</v>
      </c>
      <c r="O165" s="2">
        <f t="shared" si="112"/>
        <v>0.46491461888874203</v>
      </c>
      <c r="P165" s="2">
        <f t="shared" si="113"/>
        <v>0.33139340215336099</v>
      </c>
      <c r="Q165" s="2">
        <f t="shared" si="114"/>
        <v>0.70275430584075804</v>
      </c>
      <c r="R165" s="2">
        <f t="shared" si="115"/>
        <v>5.7284406109127701</v>
      </c>
      <c r="S165" s="2">
        <f t="shared" si="116"/>
        <v>0.50341482027991502</v>
      </c>
      <c r="T165" s="2">
        <f t="shared" si="117"/>
        <v>-0.18524638020414499</v>
      </c>
      <c r="U165" s="2">
        <f t="shared" si="118"/>
        <v>0.359109015418142</v>
      </c>
      <c r="V165" s="2">
        <f t="shared" si="119"/>
        <v>0.32596706647099999</v>
      </c>
      <c r="W165" s="2">
        <f t="shared" si="120"/>
        <v>0.1815519838737</v>
      </c>
      <c r="X165" s="2">
        <f t="shared" si="121"/>
        <v>0.35719243889138302</v>
      </c>
      <c r="Y165" s="2">
        <f t="shared" si="122"/>
        <v>1.0967015573257699</v>
      </c>
      <c r="Z165" s="2">
        <f t="shared" si="123"/>
        <v>1.3934160964848501</v>
      </c>
      <c r="AA165" s="2">
        <f t="shared" si="124"/>
        <v>3.1125305225456401</v>
      </c>
      <c r="AB165" s="2">
        <f t="shared" si="125"/>
        <v>0.12917173353815001</v>
      </c>
      <c r="AC165" s="2">
        <f t="shared" si="126"/>
        <v>1.5330623952161599</v>
      </c>
      <c r="AD165" s="2">
        <f t="shared" si="127"/>
        <v>7.6478205798999999E-2</v>
      </c>
      <c r="AE165" s="2">
        <f t="shared" si="128"/>
        <v>0.21044187313462001</v>
      </c>
      <c r="AF165" s="2">
        <f t="shared" si="129"/>
        <v>0.12686298468157101</v>
      </c>
      <c r="AG165" s="5">
        <f t="shared" si="130"/>
        <v>0.13286427777851201</v>
      </c>
      <c r="AH165" s="2">
        <f t="shared" si="131"/>
        <v>42.726730044180002</v>
      </c>
      <c r="AI165" s="2">
        <f t="shared" si="132"/>
        <v>0.53306239521615595</v>
      </c>
      <c r="AJ165" s="2">
        <f t="shared" si="133"/>
        <v>0.33493081217904602</v>
      </c>
      <c r="AK165" s="2">
        <f t="shared" si="134"/>
        <v>0.15127355041479901</v>
      </c>
      <c r="AL165" s="2">
        <f t="shared" si="135"/>
        <v>0.16949139438699001</v>
      </c>
      <c r="AM165" s="2">
        <f t="shared" si="136"/>
        <v>5.7284406109127701</v>
      </c>
      <c r="AN165" s="2">
        <f t="shared" si="137"/>
        <v>0.1050737780747</v>
      </c>
      <c r="AO165" s="2">
        <f t="shared" si="138"/>
        <v>0.57775617694513004</v>
      </c>
      <c r="AP165" s="2">
        <f t="shared" si="139"/>
        <v>3.73659978144926</v>
      </c>
      <c r="AQ165" s="2">
        <f t="shared" si="140"/>
        <v>9.5161683281600004E-2</v>
      </c>
      <c r="AR165" s="2">
        <f t="shared" si="141"/>
        <v>0.49620917313442803</v>
      </c>
      <c r="AS165" s="2">
        <f t="shared" si="142"/>
        <v>0.72785244045026598</v>
      </c>
      <c r="AT165" s="2">
        <f t="shared" si="143"/>
        <v>0.117330322002919</v>
      </c>
      <c r="AU165" s="2">
        <f t="shared" si="144"/>
        <v>0.348459508800121</v>
      </c>
      <c r="AV165" s="2">
        <f t="shared" si="145"/>
        <v>9.5556248471802802E-2</v>
      </c>
      <c r="AW165" s="2">
        <f t="shared" si="146"/>
        <v>0.54738829437234704</v>
      </c>
      <c r="AX165" s="2">
        <f t="shared" si="147"/>
        <v>-1.8683477482599999E-2</v>
      </c>
      <c r="AY165" s="5">
        <f t="shared" si="148"/>
        <v>1.05774936610711</v>
      </c>
      <c r="AZ165" s="2">
        <f t="shared" si="149"/>
        <v>0.11126005358620999</v>
      </c>
      <c r="BA165" s="2">
        <f t="shared" si="150"/>
        <v>0.64877383238511899</v>
      </c>
      <c r="BB165" s="2">
        <f t="shared" si="151"/>
        <v>6.4618929470341105E-2</v>
      </c>
      <c r="BC165" s="2">
        <f t="shared" si="152"/>
        <v>0.54175492177403195</v>
      </c>
      <c r="BD165" s="2">
        <f t="shared" si="153"/>
        <v>6.24363058448043E-2</v>
      </c>
      <c r="BE165" s="2">
        <f t="shared" si="154"/>
        <v>-3.8323609568735997E-2</v>
      </c>
      <c r="BF165" s="2">
        <f t="shared" si="155"/>
        <v>0.328899087624482</v>
      </c>
    </row>
    <row r="166" spans="1:58" s="2" customFormat="1" x14ac:dyDescent="0.15">
      <c r="A166" s="8">
        <v>204.5</v>
      </c>
      <c r="B166" s="4">
        <v>2.6830724148000001E-2</v>
      </c>
      <c r="C166" s="4">
        <v>5.0485106127499998E-2</v>
      </c>
      <c r="D166" s="4">
        <v>4.3369893031900003E-2</v>
      </c>
      <c r="E166" s="4">
        <v>0.142447792988</v>
      </c>
      <c r="F166" s="4">
        <v>0.21646967310199999</v>
      </c>
      <c r="G166" s="2">
        <f t="shared" si="104"/>
        <v>4.28779277110573</v>
      </c>
      <c r="H166" s="2">
        <f t="shared" si="105"/>
        <v>0.16598456697450001</v>
      </c>
      <c r="I166" s="2">
        <f t="shared" si="106"/>
        <v>0.62177035171864703</v>
      </c>
      <c r="J166" s="2">
        <f t="shared" si="107"/>
        <v>-0.32053721108172101</v>
      </c>
      <c r="K166" s="2">
        <f t="shared" si="108"/>
        <v>3.28779277110573</v>
      </c>
      <c r="L166" s="2">
        <f t="shared" si="109"/>
        <v>1.4297734322851401</v>
      </c>
      <c r="M166" s="2">
        <f t="shared" si="110"/>
        <v>0.32463041786098201</v>
      </c>
      <c r="N166" s="2">
        <f t="shared" si="111"/>
        <v>0.29060624602016299</v>
      </c>
      <c r="O166" s="2">
        <f t="shared" si="112"/>
        <v>0.45096602042466699</v>
      </c>
      <c r="P166" s="2">
        <f t="shared" si="113"/>
        <v>0.32125423357148503</v>
      </c>
      <c r="Q166" s="2">
        <f t="shared" si="114"/>
        <v>0.66617945313570304</v>
      </c>
      <c r="R166" s="2">
        <f t="shared" si="115"/>
        <v>4.9912429560935099</v>
      </c>
      <c r="S166" s="2">
        <f t="shared" si="116"/>
        <v>0.47826779817430498</v>
      </c>
      <c r="T166" s="2">
        <f t="shared" si="117"/>
        <v>-0.25082151241775702</v>
      </c>
      <c r="U166" s="2">
        <f t="shared" si="118"/>
        <v>0.34171643815056901</v>
      </c>
      <c r="V166" s="2">
        <f t="shared" si="119"/>
        <v>0.30765525024648599</v>
      </c>
      <c r="W166" s="2">
        <f t="shared" si="120"/>
        <v>0.17309978007009999</v>
      </c>
      <c r="X166" s="2">
        <f t="shared" si="121"/>
        <v>0.33958138468562998</v>
      </c>
      <c r="Y166" s="2">
        <f t="shared" si="122"/>
        <v>1.0798978901431899</v>
      </c>
      <c r="Z166" s="2">
        <f t="shared" si="123"/>
        <v>1.2341089848289699</v>
      </c>
      <c r="AA166" s="2">
        <f t="shared" si="124"/>
        <v>3.07668900054373</v>
      </c>
      <c r="AB166" s="2">
        <f t="shared" si="125"/>
        <v>0.12991978306695001</v>
      </c>
      <c r="AC166" s="2">
        <f t="shared" si="126"/>
        <v>1.5196421689751001</v>
      </c>
      <c r="AD166" s="2">
        <f t="shared" si="127"/>
        <v>7.4021880114000002E-2</v>
      </c>
      <c r="AE166" s="2">
        <f t="shared" si="128"/>
        <v>0.20623649475848799</v>
      </c>
      <c r="AF166" s="2">
        <f t="shared" si="129"/>
        <v>0.12355570844823099</v>
      </c>
      <c r="AG166" s="5">
        <f t="shared" si="130"/>
        <v>0.12927065120290099</v>
      </c>
      <c r="AH166" s="2">
        <f t="shared" si="131"/>
        <v>41.847489199572699</v>
      </c>
      <c r="AI166" s="2">
        <f t="shared" si="132"/>
        <v>0.51964216897509696</v>
      </c>
      <c r="AJ166" s="2">
        <f t="shared" si="133"/>
        <v>0.32736704088549001</v>
      </c>
      <c r="AK166" s="2">
        <f t="shared" si="134"/>
        <v>0.14612666294273199</v>
      </c>
      <c r="AL166" s="2">
        <f t="shared" si="135"/>
        <v>0.16547020777548399</v>
      </c>
      <c r="AM166" s="2">
        <f t="shared" si="136"/>
        <v>4.9912429560935099</v>
      </c>
      <c r="AN166" s="2">
        <f t="shared" si="137"/>
        <v>9.9077899956100002E-2</v>
      </c>
      <c r="AO166" s="2">
        <f t="shared" si="138"/>
        <v>0.53319951441807001</v>
      </c>
      <c r="AP166" s="2">
        <f t="shared" si="139"/>
        <v>3.2844856887985601</v>
      </c>
      <c r="AQ166" s="2">
        <f t="shared" si="140"/>
        <v>9.1962686860500006E-2</v>
      </c>
      <c r="AR166" s="2">
        <f t="shared" si="141"/>
        <v>0.47665632601854102</v>
      </c>
      <c r="AS166" s="2">
        <f t="shared" si="142"/>
        <v>0.74710788325951605</v>
      </c>
      <c r="AT166" s="2">
        <f t="shared" si="143"/>
        <v>0.12331409119891699</v>
      </c>
      <c r="AU166" s="2">
        <f t="shared" si="144"/>
        <v>0.34794063998289398</v>
      </c>
      <c r="AV166" s="2">
        <f t="shared" si="145"/>
        <v>0.107808242164423</v>
      </c>
      <c r="AW166" s="2">
        <f t="shared" si="146"/>
        <v>0.53809712931200004</v>
      </c>
      <c r="AX166" s="2">
        <f t="shared" si="147"/>
        <v>-1.7940806746500001E-2</v>
      </c>
      <c r="AY166" s="5">
        <f t="shared" si="148"/>
        <v>1.0428667148114601</v>
      </c>
      <c r="AZ166" s="2">
        <f t="shared" si="149"/>
        <v>0.109336908391198</v>
      </c>
      <c r="BA166" s="2">
        <f t="shared" si="150"/>
        <v>0.67840261823813197</v>
      </c>
      <c r="BB166" s="2">
        <f t="shared" si="151"/>
        <v>6.2039340973349302E-2</v>
      </c>
      <c r="BC166" s="2">
        <f t="shared" si="152"/>
        <v>0.53233390436933103</v>
      </c>
      <c r="BD166" s="2">
        <f t="shared" si="153"/>
        <v>6.4235805201096494E-2</v>
      </c>
      <c r="BE166" s="2">
        <f t="shared" si="154"/>
        <v>-3.6870284138220098E-2</v>
      </c>
      <c r="BF166" s="2">
        <f t="shared" si="155"/>
        <v>0.33169239123162703</v>
      </c>
    </row>
    <row r="167" spans="1:58" s="2" customFormat="1" x14ac:dyDescent="0.15">
      <c r="A167" s="8">
        <v>206.5</v>
      </c>
      <c r="B167" s="4">
        <v>2.44123960875E-2</v>
      </c>
      <c r="C167" s="4">
        <v>4.87328562854E-2</v>
      </c>
      <c r="D167" s="4">
        <v>4.1401607214900001E-2</v>
      </c>
      <c r="E167" s="4">
        <v>0.14388657231999999</v>
      </c>
      <c r="F167" s="4">
        <v>0.22241346027799999</v>
      </c>
      <c r="G167" s="2">
        <f t="shared" si="104"/>
        <v>4.5639323698872403</v>
      </c>
      <c r="H167" s="2">
        <f t="shared" si="105"/>
        <v>0.17368060399259999</v>
      </c>
      <c r="I167" s="2">
        <f t="shared" si="106"/>
        <v>0.64054200032619502</v>
      </c>
      <c r="J167" s="2">
        <f t="shared" si="107"/>
        <v>-0.292263573549922</v>
      </c>
      <c r="K167" s="2">
        <f t="shared" si="108"/>
        <v>3.5639323698872398</v>
      </c>
      <c r="L167" s="2">
        <f t="shared" si="109"/>
        <v>1.51090978196412</v>
      </c>
      <c r="M167" s="2">
        <f t="shared" si="110"/>
        <v>0.33783589494391503</v>
      </c>
      <c r="N167" s="2">
        <f t="shared" si="111"/>
        <v>0.304657551156856</v>
      </c>
      <c r="O167" s="2">
        <f t="shared" si="112"/>
        <v>0.467288001524165</v>
      </c>
      <c r="P167" s="2">
        <f t="shared" si="113"/>
        <v>0.33354118411266998</v>
      </c>
      <c r="Q167" s="2">
        <f t="shared" si="114"/>
        <v>0.68613159507264099</v>
      </c>
      <c r="R167" s="2">
        <f t="shared" si="115"/>
        <v>5.37209725032017</v>
      </c>
      <c r="S167" s="2">
        <f t="shared" si="116"/>
        <v>0.49543719810460402</v>
      </c>
      <c r="T167" s="2">
        <f t="shared" si="117"/>
        <v>-0.216062973354886</v>
      </c>
      <c r="U167" s="2">
        <f t="shared" si="118"/>
        <v>0.35547580972166898</v>
      </c>
      <c r="V167" s="2">
        <f t="shared" si="119"/>
        <v>0.32259162312470802</v>
      </c>
      <c r="W167" s="2">
        <f t="shared" si="120"/>
        <v>0.1810118530631</v>
      </c>
      <c r="X167" s="2">
        <f t="shared" si="121"/>
        <v>0.35241729734682298</v>
      </c>
      <c r="Y167" s="2">
        <f t="shared" si="122"/>
        <v>1.0890966876603001</v>
      </c>
      <c r="Z167" s="2">
        <f t="shared" si="123"/>
        <v>1.31777851623492</v>
      </c>
      <c r="AA167" s="2">
        <f t="shared" si="124"/>
        <v>3.0967099237388598</v>
      </c>
      <c r="AB167" s="2">
        <f t="shared" si="125"/>
        <v>0.13190753374645001</v>
      </c>
      <c r="AC167" s="2">
        <f t="shared" si="126"/>
        <v>1.5457554981806001</v>
      </c>
      <c r="AD167" s="2">
        <f t="shared" si="127"/>
        <v>7.8526887958000002E-2</v>
      </c>
      <c r="AE167" s="2">
        <f t="shared" si="128"/>
        <v>0.214378599425843</v>
      </c>
      <c r="AF167" s="2">
        <f t="shared" si="129"/>
        <v>0.129747771686862</v>
      </c>
      <c r="AG167" s="5">
        <f t="shared" si="130"/>
        <v>0.13596944188464499</v>
      </c>
      <c r="AH167" s="2">
        <f t="shared" si="131"/>
        <v>43.5512786416475</v>
      </c>
      <c r="AI167" s="2">
        <f t="shared" si="132"/>
        <v>0.54575549818059599</v>
      </c>
      <c r="AJ167" s="2">
        <f t="shared" si="133"/>
        <v>0.34205014154201102</v>
      </c>
      <c r="AK167" s="2">
        <f t="shared" si="134"/>
        <v>0.154213155710096</v>
      </c>
      <c r="AL167" s="2">
        <f t="shared" si="135"/>
        <v>0.17307844269289199</v>
      </c>
      <c r="AM167" s="2">
        <f t="shared" si="136"/>
        <v>5.37209725032017</v>
      </c>
      <c r="AN167" s="2">
        <f t="shared" si="137"/>
        <v>0.1024849651051</v>
      </c>
      <c r="AO167" s="2">
        <f t="shared" si="138"/>
        <v>0.55311118800104797</v>
      </c>
      <c r="AP167" s="2">
        <f t="shared" si="139"/>
        <v>3.4753861504250199</v>
      </c>
      <c r="AQ167" s="2">
        <f t="shared" si="140"/>
        <v>9.5153716034600003E-2</v>
      </c>
      <c r="AR167" s="2">
        <f t="shared" si="141"/>
        <v>0.49399853754904299</v>
      </c>
      <c r="AS167" s="2">
        <f t="shared" si="142"/>
        <v>0.76622837191259596</v>
      </c>
      <c r="AT167" s="2">
        <f t="shared" si="143"/>
        <v>0.11741926384800599</v>
      </c>
      <c r="AU167" s="2">
        <f t="shared" si="144"/>
        <v>0.34668715702774999</v>
      </c>
      <c r="AV167" s="2">
        <f t="shared" si="145"/>
        <v>0.10154878757392199</v>
      </c>
      <c r="AW167" s="2">
        <f t="shared" si="146"/>
        <v>0.54552996249921504</v>
      </c>
      <c r="AX167" s="2">
        <f t="shared" si="147"/>
        <v>-1.66268280766E-2</v>
      </c>
      <c r="AY167" s="5">
        <f t="shared" si="148"/>
        <v>1.04221109842992</v>
      </c>
      <c r="AZ167" s="2">
        <f t="shared" si="149"/>
        <v>0.114122228591162</v>
      </c>
      <c r="BA167" s="2">
        <f t="shared" si="150"/>
        <v>0.65465079202310705</v>
      </c>
      <c r="BB167" s="2">
        <f t="shared" si="151"/>
        <v>6.7689819106312499E-2</v>
      </c>
      <c r="BC167" s="2">
        <f t="shared" si="152"/>
        <v>0.54859380354272902</v>
      </c>
      <c r="BD167" s="2">
        <f t="shared" si="153"/>
        <v>6.7700623609112998E-2</v>
      </c>
      <c r="BE167" s="2">
        <f t="shared" si="154"/>
        <v>-3.5361078354456003E-2</v>
      </c>
      <c r="BF167" s="2">
        <f t="shared" si="155"/>
        <v>0.33468312665940902</v>
      </c>
    </row>
    <row r="168" spans="1:58" s="2" customFormat="1" x14ac:dyDescent="0.15">
      <c r="A168" s="8">
        <v>194.5</v>
      </c>
      <c r="B168" s="4">
        <v>2.3373132730199999E-2</v>
      </c>
      <c r="C168" s="4">
        <v>4.94609691409E-2</v>
      </c>
      <c r="D168" s="4">
        <v>3.83578656682E-2</v>
      </c>
      <c r="E168" s="4">
        <v>0.157994705294</v>
      </c>
      <c r="F168" s="4">
        <v>0.25289399364999998</v>
      </c>
      <c r="G168" s="2">
        <f t="shared" si="104"/>
        <v>5.1130011813876504</v>
      </c>
      <c r="H168" s="2">
        <f t="shared" si="105"/>
        <v>0.2034330245091</v>
      </c>
      <c r="I168" s="2">
        <f t="shared" si="106"/>
        <v>0.672828461723608</v>
      </c>
      <c r="J168" s="2">
        <f t="shared" si="107"/>
        <v>-0.23949516862160999</v>
      </c>
      <c r="K168" s="2">
        <f t="shared" si="108"/>
        <v>4.1130011813876504</v>
      </c>
      <c r="L168" s="2">
        <f t="shared" si="109"/>
        <v>1.6635336660075299</v>
      </c>
      <c r="M168" s="2">
        <f t="shared" si="110"/>
        <v>0.38031737935816101</v>
      </c>
      <c r="N168" s="2">
        <f t="shared" si="111"/>
        <v>0.35291484837359099</v>
      </c>
      <c r="O168" s="2">
        <f t="shared" si="112"/>
        <v>0.51039207410276899</v>
      </c>
      <c r="P168" s="2">
        <f t="shared" si="113"/>
        <v>0.36996692952781401</v>
      </c>
      <c r="Q168" s="2">
        <f t="shared" si="114"/>
        <v>0.73660002886853304</v>
      </c>
      <c r="R168" s="2">
        <f t="shared" si="115"/>
        <v>6.5930152589187996</v>
      </c>
      <c r="S168" s="2">
        <f t="shared" si="116"/>
        <v>0.55149226162723297</v>
      </c>
      <c r="T168" s="2">
        <f t="shared" si="117"/>
        <v>-0.116593690925716</v>
      </c>
      <c r="U168" s="2">
        <f t="shared" si="118"/>
        <v>0.40670260446527101</v>
      </c>
      <c r="V168" s="2">
        <f t="shared" si="119"/>
        <v>0.38171060270874801</v>
      </c>
      <c r="W168" s="2">
        <f t="shared" si="120"/>
        <v>0.2145361279818</v>
      </c>
      <c r="X168" s="2">
        <f t="shared" si="121"/>
        <v>0.39752649982703903</v>
      </c>
      <c r="Y168" s="2">
        <f t="shared" si="122"/>
        <v>1.1120251925511999</v>
      </c>
      <c r="Z168" s="2">
        <f t="shared" si="123"/>
        <v>1.5676867524911999</v>
      </c>
      <c r="AA168" s="2">
        <f t="shared" si="124"/>
        <v>3.1590261934745199</v>
      </c>
      <c r="AB168" s="2">
        <f t="shared" si="125"/>
        <v>0.14562592965910001</v>
      </c>
      <c r="AC168" s="2">
        <f t="shared" si="126"/>
        <v>1.6006485355278799</v>
      </c>
      <c r="AD168" s="2">
        <f t="shared" si="127"/>
        <v>9.4899288356000006E-2</v>
      </c>
      <c r="AE168" s="2">
        <f t="shared" si="128"/>
        <v>0.23096105733716901</v>
      </c>
      <c r="AF168" s="2">
        <f t="shared" si="129"/>
        <v>0.148047424763981</v>
      </c>
      <c r="AG168" s="5">
        <f t="shared" si="130"/>
        <v>0.15627478164898301</v>
      </c>
      <c r="AH168" s="2">
        <f t="shared" si="131"/>
        <v>47.040888182473999</v>
      </c>
      <c r="AI168" s="2">
        <f t="shared" si="132"/>
        <v>0.600648535527879</v>
      </c>
      <c r="AJ168" s="2">
        <f t="shared" si="133"/>
        <v>0.37245995872515097</v>
      </c>
      <c r="AK168" s="2">
        <f t="shared" si="134"/>
        <v>0.17990344143602799</v>
      </c>
      <c r="AL168" s="2">
        <f t="shared" si="135"/>
        <v>0.192827734541927</v>
      </c>
      <c r="AM168" s="2">
        <f t="shared" si="136"/>
        <v>6.5930152589187996</v>
      </c>
      <c r="AN168" s="2">
        <f t="shared" si="137"/>
        <v>0.1196368396258</v>
      </c>
      <c r="AO168" s="2">
        <f t="shared" si="138"/>
        <v>0.60929601807368905</v>
      </c>
      <c r="AP168" s="2">
        <f t="shared" si="139"/>
        <v>4.1189649773705499</v>
      </c>
      <c r="AQ168" s="2">
        <f t="shared" si="140"/>
        <v>0.1085337361531</v>
      </c>
      <c r="AR168" s="2">
        <f t="shared" si="141"/>
        <v>0.52316590736185498</v>
      </c>
      <c r="AS168" s="2">
        <f t="shared" si="142"/>
        <v>0.79322797771009201</v>
      </c>
      <c r="AT168" s="2">
        <f t="shared" si="143"/>
        <v>0.107442174003649</v>
      </c>
      <c r="AU168" s="2">
        <f t="shared" si="144"/>
        <v>0.343205863384834</v>
      </c>
      <c r="AV168" s="2">
        <f t="shared" si="145"/>
        <v>8.5382657742327797E-2</v>
      </c>
      <c r="AW168" s="2">
        <f t="shared" si="146"/>
        <v>0.56292916534220805</v>
      </c>
      <c r="AX168" s="2">
        <f t="shared" si="147"/>
        <v>-1.36344477971E-2</v>
      </c>
      <c r="AY168" s="5">
        <f t="shared" si="148"/>
        <v>1.05457866784163</v>
      </c>
      <c r="AZ168" s="2">
        <f t="shared" si="149"/>
        <v>0.129650570102536</v>
      </c>
      <c r="BA168" s="2">
        <f t="shared" si="150"/>
        <v>0.62128807000586606</v>
      </c>
      <c r="BB168" s="2">
        <f t="shared" si="151"/>
        <v>8.67754523779697E-2</v>
      </c>
      <c r="BC168" s="2">
        <f t="shared" si="152"/>
        <v>0.62888422994354398</v>
      </c>
      <c r="BD168" s="2">
        <f t="shared" si="153"/>
        <v>7.8659701624866005E-2</v>
      </c>
      <c r="BE168" s="2">
        <f t="shared" si="154"/>
        <v>-3.2657653166196003E-2</v>
      </c>
      <c r="BF168" s="2">
        <f t="shared" si="155"/>
        <v>0.343268857481903</v>
      </c>
    </row>
    <row r="169" spans="1:58" s="2" customFormat="1" x14ac:dyDescent="0.15">
      <c r="A169" s="8">
        <v>196</v>
      </c>
      <c r="B169" s="4">
        <v>2.59186562967E-2</v>
      </c>
      <c r="C169" s="4">
        <v>5.1979409547100001E-2</v>
      </c>
      <c r="D169" s="4">
        <v>4.5831061322600002E-2</v>
      </c>
      <c r="E169" s="4">
        <v>0.14877441336</v>
      </c>
      <c r="F169" s="4">
        <v>0.22676441780199999</v>
      </c>
      <c r="G169" s="2">
        <f t="shared" si="104"/>
        <v>4.3625816410346596</v>
      </c>
      <c r="H169" s="2">
        <f t="shared" si="105"/>
        <v>0.17478500825490001</v>
      </c>
      <c r="I169" s="2">
        <f t="shared" si="106"/>
        <v>0.62704530506427503</v>
      </c>
      <c r="J169" s="2">
        <f t="shared" si="107"/>
        <v>-0.31275821398578202</v>
      </c>
      <c r="K169" s="2">
        <f t="shared" si="108"/>
        <v>3.3625816410346601</v>
      </c>
      <c r="L169" s="2">
        <f t="shared" si="109"/>
        <v>1.4520644031537</v>
      </c>
      <c r="M169" s="2">
        <f t="shared" si="110"/>
        <v>0.33666721092971102</v>
      </c>
      <c r="N169" s="2">
        <f t="shared" si="111"/>
        <v>0.30413396164286299</v>
      </c>
      <c r="O169" s="2">
        <f t="shared" si="112"/>
        <v>0.462116152837312</v>
      </c>
      <c r="P169" s="2">
        <f t="shared" si="113"/>
        <v>0.33105606597954901</v>
      </c>
      <c r="Q169" s="2">
        <f t="shared" si="114"/>
        <v>0.66374305641619802</v>
      </c>
      <c r="R169" s="2">
        <f t="shared" si="115"/>
        <v>4.9478325672152597</v>
      </c>
      <c r="S169" s="2">
        <f t="shared" si="116"/>
        <v>0.485170797301956</v>
      </c>
      <c r="T169" s="2">
        <f t="shared" si="117"/>
        <v>-0.25490990711728301</v>
      </c>
      <c r="U169" s="2">
        <f t="shared" si="118"/>
        <v>0.35128348799893799</v>
      </c>
      <c r="V169" s="2">
        <f t="shared" si="119"/>
        <v>0.31894116438910303</v>
      </c>
      <c r="W169" s="2">
        <f t="shared" si="120"/>
        <v>0.18093335647940001</v>
      </c>
      <c r="X169" s="2">
        <f t="shared" si="121"/>
        <v>0.34654474319671702</v>
      </c>
      <c r="Y169" s="2">
        <f t="shared" si="122"/>
        <v>1.07876923223468</v>
      </c>
      <c r="Z169" s="2">
        <f t="shared" si="123"/>
        <v>1.22437239850149</v>
      </c>
      <c r="AA169" s="2">
        <f t="shared" si="124"/>
        <v>3.0747610741567599</v>
      </c>
      <c r="AB169" s="2">
        <f t="shared" si="125"/>
        <v>0.13629773956230001</v>
      </c>
      <c r="AC169" s="2">
        <f t="shared" si="126"/>
        <v>1.52421651465889</v>
      </c>
      <c r="AD169" s="2">
        <f t="shared" si="127"/>
        <v>7.7990004441999994E-2</v>
      </c>
      <c r="AE169" s="2">
        <f t="shared" si="128"/>
        <v>0.20767494056655</v>
      </c>
      <c r="AF169" s="2">
        <f t="shared" si="129"/>
        <v>0.127265743769788</v>
      </c>
      <c r="AG169" s="5">
        <f t="shared" si="130"/>
        <v>0.13361486949441101</v>
      </c>
      <c r="AH169" s="2">
        <f t="shared" si="131"/>
        <v>42.148051715961699</v>
      </c>
      <c r="AI169" s="2">
        <f t="shared" si="132"/>
        <v>0.52421651465888897</v>
      </c>
      <c r="AJ169" s="2">
        <f t="shared" si="133"/>
        <v>0.32994944086297301</v>
      </c>
      <c r="AK169" s="2">
        <f t="shared" si="134"/>
        <v>0.151418186908823</v>
      </c>
      <c r="AL169" s="2">
        <f t="shared" si="135"/>
        <v>0.16892968331805899</v>
      </c>
      <c r="AM169" s="2">
        <f t="shared" si="136"/>
        <v>4.9478325672152597</v>
      </c>
      <c r="AN169" s="2">
        <f t="shared" si="137"/>
        <v>0.1029433520374</v>
      </c>
      <c r="AO169" s="2">
        <f t="shared" si="138"/>
        <v>0.52898487159880703</v>
      </c>
      <c r="AP169" s="2">
        <f t="shared" si="139"/>
        <v>3.2461481158551502</v>
      </c>
      <c r="AQ169" s="2">
        <f t="shared" si="140"/>
        <v>9.6795003812900002E-2</v>
      </c>
      <c r="AR169" s="2">
        <f t="shared" si="141"/>
        <v>0.48215771142596098</v>
      </c>
      <c r="AS169" s="2">
        <f t="shared" si="142"/>
        <v>0.75760117480598199</v>
      </c>
      <c r="AT169" s="2">
        <f t="shared" si="143"/>
        <v>0.121584074309636</v>
      </c>
      <c r="AU169" s="2">
        <f t="shared" si="144"/>
        <v>0.347995475264953</v>
      </c>
      <c r="AV169" s="2">
        <f t="shared" si="145"/>
        <v>0.108766815427552</v>
      </c>
      <c r="AW169" s="2">
        <f t="shared" si="146"/>
        <v>0.53815999160473404</v>
      </c>
      <c r="AX169" s="2">
        <f t="shared" si="147"/>
        <v>-1.8804999370900001E-2</v>
      </c>
      <c r="AY169" s="5">
        <f t="shared" si="148"/>
        <v>1.0351766337736099</v>
      </c>
      <c r="AZ169" s="2">
        <f t="shared" si="149"/>
        <v>0.11273064285781</v>
      </c>
      <c r="BA169" s="2">
        <f t="shared" si="150"/>
        <v>0.66996397176231204</v>
      </c>
      <c r="BB169" s="2">
        <f t="shared" si="151"/>
        <v>6.5591613529434697E-2</v>
      </c>
      <c r="BC169" s="2">
        <f t="shared" si="152"/>
        <v>0.55854839978772097</v>
      </c>
      <c r="BD169" s="2">
        <f t="shared" si="153"/>
        <v>6.8501047326860798E-2</v>
      </c>
      <c r="BE169" s="2">
        <f t="shared" si="154"/>
        <v>-3.8694599551643998E-2</v>
      </c>
      <c r="BF169" s="2">
        <f t="shared" si="155"/>
        <v>0.33119606970865101</v>
      </c>
    </row>
    <row r="170" spans="1:58" s="2" customFormat="1" x14ac:dyDescent="0.15">
      <c r="A170" s="3">
        <v>236.5</v>
      </c>
      <c r="B170" s="4">
        <v>2.5847206515400001E-2</v>
      </c>
      <c r="C170" s="4">
        <v>4.7565312582899998E-2</v>
      </c>
      <c r="D170" s="4">
        <v>3.49370258611E-2</v>
      </c>
      <c r="E170" s="4">
        <v>0.166526212083</v>
      </c>
      <c r="F170" s="4">
        <v>0.29785527105199999</v>
      </c>
      <c r="G170" s="2">
        <f t="shared" si="104"/>
        <v>6.2620269872688796</v>
      </c>
      <c r="H170" s="2">
        <f t="shared" si="105"/>
        <v>0.25028995846910002</v>
      </c>
      <c r="I170" s="2">
        <f t="shared" si="106"/>
        <v>0.724594799288654</v>
      </c>
      <c r="J170" s="2">
        <f t="shared" si="107"/>
        <v>-0.14191539643873499</v>
      </c>
      <c r="K170" s="2">
        <f t="shared" si="108"/>
        <v>5.2620269872688796</v>
      </c>
      <c r="L170" s="2">
        <f t="shared" si="109"/>
        <v>1.95264881345612</v>
      </c>
      <c r="M170" s="2">
        <f t="shared" si="110"/>
        <v>0.44408066821541198</v>
      </c>
      <c r="N170" s="2">
        <f t="shared" si="111"/>
        <v>0.42908282548799098</v>
      </c>
      <c r="O170" s="2">
        <f t="shared" si="112"/>
        <v>0.57444504878710301</v>
      </c>
      <c r="P170" s="2">
        <f t="shared" si="113"/>
        <v>0.42586242170551197</v>
      </c>
      <c r="Q170" s="2">
        <f t="shared" si="114"/>
        <v>0.79003705202814301</v>
      </c>
      <c r="R170" s="2">
        <f t="shared" si="115"/>
        <v>8.5254901844304296</v>
      </c>
      <c r="S170" s="2">
        <f t="shared" si="116"/>
        <v>0.61889190706084796</v>
      </c>
      <c r="T170" s="2">
        <f t="shared" si="117"/>
        <v>1.13979988517361E-2</v>
      </c>
      <c r="U170" s="2">
        <f t="shared" si="118"/>
        <v>0.47356029738529398</v>
      </c>
      <c r="V170" s="2">
        <f t="shared" si="119"/>
        <v>0.46508426395603902</v>
      </c>
      <c r="W170" s="2">
        <f t="shared" si="120"/>
        <v>0.26291824519090001</v>
      </c>
      <c r="X170" s="2">
        <f t="shared" si="121"/>
        <v>0.45575778145307699</v>
      </c>
      <c r="Y170" s="2">
        <f t="shared" si="122"/>
        <v>1.1357979802888101</v>
      </c>
      <c r="Z170" s="2">
        <f t="shared" si="123"/>
        <v>1.9198442055065901</v>
      </c>
      <c r="AA170" s="2">
        <f t="shared" si="124"/>
        <v>3.2553520796073099</v>
      </c>
      <c r="AB170" s="2">
        <f t="shared" si="125"/>
        <v>0.16639614845655001</v>
      </c>
      <c r="AC170" s="2">
        <f t="shared" si="126"/>
        <v>1.7886389615560501</v>
      </c>
      <c r="AD170" s="2">
        <f t="shared" si="127"/>
        <v>0.13132905896899999</v>
      </c>
      <c r="AE170" s="2">
        <f t="shared" si="128"/>
        <v>0.28280425412832699</v>
      </c>
      <c r="AF170" s="2">
        <f t="shared" si="129"/>
        <v>0.19271849046498701</v>
      </c>
      <c r="AG170" s="5">
        <f t="shared" si="130"/>
        <v>0.20426936010127</v>
      </c>
      <c r="AH170" s="2">
        <f t="shared" si="131"/>
        <v>58.145497396231697</v>
      </c>
      <c r="AI170" s="2">
        <f t="shared" si="132"/>
        <v>0.78863896155605195</v>
      </c>
      <c r="AJ170" s="2">
        <f t="shared" si="133"/>
        <v>0.472261001247613</v>
      </c>
      <c r="AK170" s="2">
        <f t="shared" si="134"/>
        <v>0.236545882068907</v>
      </c>
      <c r="AL170" s="2">
        <f t="shared" si="135"/>
        <v>0.24398819074380099</v>
      </c>
      <c r="AM170" s="2">
        <f t="shared" si="136"/>
        <v>8.5254901844304296</v>
      </c>
      <c r="AN170" s="2">
        <f t="shared" si="137"/>
        <v>0.1315891862219</v>
      </c>
      <c r="AO170" s="2">
        <f t="shared" si="138"/>
        <v>0.65316723569394897</v>
      </c>
      <c r="AP170" s="2">
        <f t="shared" si="139"/>
        <v>4.7664678941207601</v>
      </c>
      <c r="AQ170" s="2">
        <f t="shared" si="140"/>
        <v>0.1189608995001</v>
      </c>
      <c r="AR170" s="2">
        <f t="shared" si="141"/>
        <v>0.55565440848601599</v>
      </c>
      <c r="AS170" s="2">
        <f t="shared" si="142"/>
        <v>0.99802318670425305</v>
      </c>
      <c r="AT170" s="2">
        <f t="shared" si="143"/>
        <v>9.2910655913373594E-2</v>
      </c>
      <c r="AU170" s="2">
        <f t="shared" si="144"/>
        <v>0.32528030935222702</v>
      </c>
      <c r="AV170" s="2">
        <f t="shared" si="145"/>
        <v>6.9969418781094903E-2</v>
      </c>
      <c r="AW170" s="2">
        <f t="shared" si="146"/>
        <v>0.59652359302852598</v>
      </c>
      <c r="AX170" s="2">
        <f t="shared" si="147"/>
        <v>1.2368159468900001E-2</v>
      </c>
      <c r="AY170" s="5">
        <f t="shared" si="148"/>
        <v>1.05045462790054</v>
      </c>
      <c r="AZ170" s="2">
        <f t="shared" si="149"/>
        <v>0.16921469212113999</v>
      </c>
      <c r="BA170" s="2">
        <f t="shared" si="150"/>
        <v>0.61329494366046799</v>
      </c>
      <c r="BB170" s="2">
        <f t="shared" si="151"/>
        <v>0.14536459737563001</v>
      </c>
      <c r="BC170" s="2">
        <f t="shared" si="152"/>
        <v>0.75458216795317901</v>
      </c>
      <c r="BD170" s="2">
        <f t="shared" si="153"/>
        <v>0.111827686675565</v>
      </c>
      <c r="BE170" s="2">
        <f t="shared" si="154"/>
        <v>3.5348416952039699E-3</v>
      </c>
      <c r="BF170" s="2">
        <f t="shared" si="155"/>
        <v>0.39029296705684402</v>
      </c>
    </row>
    <row r="171" spans="1:58" s="2" customFormat="1" x14ac:dyDescent="0.15">
      <c r="A171" s="3">
        <v>215.5</v>
      </c>
      <c r="B171" s="4">
        <v>2.75625339465E-2</v>
      </c>
      <c r="C171" s="4">
        <v>4.8429407989700003E-2</v>
      </c>
      <c r="D171" s="4">
        <v>3.7194750112700001E-2</v>
      </c>
      <c r="E171" s="4">
        <v>0.164299635966</v>
      </c>
      <c r="F171" s="4">
        <v>0.28844768983000002</v>
      </c>
      <c r="G171" s="2">
        <f t="shared" si="104"/>
        <v>5.9560441021981401</v>
      </c>
      <c r="H171" s="2">
        <f t="shared" si="105"/>
        <v>0.2400182818403</v>
      </c>
      <c r="I171" s="2">
        <f t="shared" si="106"/>
        <v>0.71248025880572097</v>
      </c>
      <c r="J171" s="2">
        <f t="shared" si="107"/>
        <v>-0.166367586121976</v>
      </c>
      <c r="K171" s="2">
        <f t="shared" si="108"/>
        <v>4.9560441021981401</v>
      </c>
      <c r="L171" s="2">
        <f t="shared" si="109"/>
        <v>1.8791177676204001</v>
      </c>
      <c r="M171" s="2">
        <f t="shared" si="110"/>
        <v>0.43020345962199502</v>
      </c>
      <c r="N171" s="2">
        <f t="shared" si="111"/>
        <v>0.41213240191617601</v>
      </c>
      <c r="O171" s="2">
        <f t="shared" si="112"/>
        <v>0.56034220163590198</v>
      </c>
      <c r="P171" s="2">
        <f t="shared" si="113"/>
        <v>0.41353148315899901</v>
      </c>
      <c r="Q171" s="2">
        <f t="shared" si="114"/>
        <v>0.77156079459885596</v>
      </c>
      <c r="R171" s="2">
        <f t="shared" si="115"/>
        <v>7.7550645979877304</v>
      </c>
      <c r="S171" s="2">
        <f t="shared" si="116"/>
        <v>0.60013990973782305</v>
      </c>
      <c r="T171" s="2">
        <f t="shared" si="117"/>
        <v>-3.5943214347018401E-2</v>
      </c>
      <c r="U171" s="2">
        <f t="shared" si="118"/>
        <v>0.45646806818954899</v>
      </c>
      <c r="V171" s="2">
        <f t="shared" si="119"/>
        <v>0.44327544273637298</v>
      </c>
      <c r="W171" s="2">
        <f t="shared" si="120"/>
        <v>0.25125293971730001</v>
      </c>
      <c r="X171" s="2">
        <f t="shared" si="121"/>
        <v>0.44029185526600301</v>
      </c>
      <c r="Y171" s="2">
        <f t="shared" si="122"/>
        <v>1.1276350449497601</v>
      </c>
      <c r="Z171" s="2">
        <f t="shared" si="123"/>
        <v>1.7847916615049899</v>
      </c>
      <c r="AA171" s="2">
        <f t="shared" si="124"/>
        <v>3.2238504228558602</v>
      </c>
      <c r="AB171" s="2">
        <f t="shared" si="125"/>
        <v>0.16282121997134999</v>
      </c>
      <c r="AC171" s="2">
        <f t="shared" si="126"/>
        <v>1.7556197744083299</v>
      </c>
      <c r="AD171" s="2">
        <f t="shared" si="127"/>
        <v>0.124148053864</v>
      </c>
      <c r="AE171" s="2">
        <f t="shared" si="128"/>
        <v>0.27421046307833702</v>
      </c>
      <c r="AF171" s="2">
        <f t="shared" si="129"/>
        <v>0.18450662681953101</v>
      </c>
      <c r="AG171" s="5">
        <f t="shared" si="130"/>
        <v>0.19545799369252001</v>
      </c>
      <c r="AH171" s="2">
        <f t="shared" si="131"/>
        <v>56.282194238683303</v>
      </c>
      <c r="AI171" s="2">
        <f t="shared" si="132"/>
        <v>0.75561977440833195</v>
      </c>
      <c r="AJ171" s="2">
        <f t="shared" si="133"/>
        <v>0.45519100194496098</v>
      </c>
      <c r="AK171" s="2">
        <f t="shared" si="134"/>
        <v>0.22554809659363401</v>
      </c>
      <c r="AL171" s="2">
        <f t="shared" si="135"/>
        <v>0.23502630924608101</v>
      </c>
      <c r="AM171" s="2">
        <f t="shared" si="136"/>
        <v>7.7550645979877304</v>
      </c>
      <c r="AN171" s="2">
        <f t="shared" si="137"/>
        <v>0.12710488585329999</v>
      </c>
      <c r="AO171" s="2">
        <f t="shared" si="138"/>
        <v>0.63081105298713003</v>
      </c>
      <c r="AP171" s="2">
        <f t="shared" si="139"/>
        <v>4.41728027391426</v>
      </c>
      <c r="AQ171" s="2">
        <f t="shared" si="140"/>
        <v>0.11587022797630001</v>
      </c>
      <c r="AR171" s="2">
        <f t="shared" si="141"/>
        <v>0.54468457067117504</v>
      </c>
      <c r="AS171" s="2">
        <f t="shared" si="142"/>
        <v>0.97673707057404002</v>
      </c>
      <c r="AT171" s="2">
        <f t="shared" si="143"/>
        <v>9.6631397119899196E-2</v>
      </c>
      <c r="AU171" s="2">
        <f t="shared" si="144"/>
        <v>0.32782773997695902</v>
      </c>
      <c r="AV171" s="2">
        <f t="shared" si="145"/>
        <v>7.5916627580341095E-2</v>
      </c>
      <c r="AW171" s="2">
        <f t="shared" si="146"/>
        <v>0.58873835094692295</v>
      </c>
      <c r="AX171" s="2">
        <f t="shared" si="147"/>
        <v>8.2778258877000202E-3</v>
      </c>
      <c r="AY171" s="5">
        <f t="shared" si="148"/>
        <v>1.04680750895665</v>
      </c>
      <c r="AZ171" s="2">
        <f t="shared" si="149"/>
        <v>0.162410299958583</v>
      </c>
      <c r="BA171" s="2">
        <f t="shared" si="150"/>
        <v>0.62100029573107396</v>
      </c>
      <c r="BB171" s="2">
        <f t="shared" si="151"/>
        <v>0.13368060995428099</v>
      </c>
      <c r="BC171" s="2">
        <f t="shared" si="152"/>
        <v>0.72840567443858795</v>
      </c>
      <c r="BD171" s="2">
        <f t="shared" si="153"/>
        <v>0.10778138398445</v>
      </c>
      <c r="BE171" s="2">
        <f t="shared" si="154"/>
        <v>-1.9843580788679602E-3</v>
      </c>
      <c r="BF171" s="2">
        <f t="shared" si="155"/>
        <v>0.38486745378458098</v>
      </c>
    </row>
    <row r="172" spans="1:58" s="2" customFormat="1" x14ac:dyDescent="0.15">
      <c r="A172" s="3">
        <v>187</v>
      </c>
      <c r="B172" s="4">
        <v>2.98088546055E-2</v>
      </c>
      <c r="C172" s="4">
        <v>5.2612923490599997E-2</v>
      </c>
      <c r="D172" s="4">
        <v>4.7019621490499999E-2</v>
      </c>
      <c r="E172" s="4">
        <v>0.144659943446</v>
      </c>
      <c r="F172" s="4">
        <v>0.21953158027</v>
      </c>
      <c r="G172" s="2">
        <f t="shared" si="104"/>
        <v>4.1725790111097396</v>
      </c>
      <c r="H172" s="2">
        <f t="shared" si="105"/>
        <v>0.16691865677939999</v>
      </c>
      <c r="I172" s="2">
        <f t="shared" si="106"/>
        <v>0.61334568390267696</v>
      </c>
      <c r="J172" s="2">
        <f t="shared" si="107"/>
        <v>-0.33270298140802201</v>
      </c>
      <c r="K172" s="2">
        <f t="shared" si="108"/>
        <v>3.1725790111097401</v>
      </c>
      <c r="L172" s="2">
        <f t="shared" si="109"/>
        <v>1.39495076734069</v>
      </c>
      <c r="M172" s="2">
        <f t="shared" si="110"/>
        <v>0.32426311907897598</v>
      </c>
      <c r="N172" s="2">
        <f t="shared" si="111"/>
        <v>0.29070949426340997</v>
      </c>
      <c r="O172" s="2">
        <f t="shared" si="112"/>
        <v>0.44805762928635801</v>
      </c>
      <c r="P172" s="2">
        <f t="shared" si="113"/>
        <v>0.31996693219530897</v>
      </c>
      <c r="Q172" s="2">
        <f t="shared" si="114"/>
        <v>0.64720007878450503</v>
      </c>
      <c r="R172" s="2">
        <f t="shared" si="115"/>
        <v>4.6689355063046403</v>
      </c>
      <c r="S172" s="2">
        <f t="shared" si="116"/>
        <v>0.46914384804987602</v>
      </c>
      <c r="T172" s="2">
        <f t="shared" si="117"/>
        <v>-0.28182756965135403</v>
      </c>
      <c r="U172" s="2">
        <f t="shared" si="118"/>
        <v>0.33757423845263101</v>
      </c>
      <c r="V172" s="2">
        <f t="shared" si="119"/>
        <v>0.30395754661673702</v>
      </c>
      <c r="W172" s="2">
        <f t="shared" si="120"/>
        <v>0.17251195877950001</v>
      </c>
      <c r="X172" s="2">
        <f t="shared" si="121"/>
        <v>0.33414031979598302</v>
      </c>
      <c r="Y172" s="2">
        <f t="shared" si="122"/>
        <v>1.07107426389794</v>
      </c>
      <c r="Z172" s="2">
        <f t="shared" si="123"/>
        <v>1.16077196999235</v>
      </c>
      <c r="AA172" s="2">
        <f t="shared" si="124"/>
        <v>3.0579908732959802</v>
      </c>
      <c r="AB172" s="2">
        <f t="shared" si="125"/>
        <v>0.13327560088025001</v>
      </c>
      <c r="AC172" s="2">
        <f t="shared" si="126"/>
        <v>1.5175699301441301</v>
      </c>
      <c r="AD172" s="2">
        <f t="shared" si="127"/>
        <v>7.4871636823999999E-2</v>
      </c>
      <c r="AE172" s="2">
        <f t="shared" si="128"/>
        <v>0.20558313949773699</v>
      </c>
      <c r="AF172" s="2">
        <f t="shared" si="129"/>
        <v>0.124065894417492</v>
      </c>
      <c r="AG172" s="5">
        <f t="shared" si="130"/>
        <v>0.12995667297577901</v>
      </c>
      <c r="AH172" s="2">
        <f t="shared" si="131"/>
        <v>41.7110325357053</v>
      </c>
      <c r="AI172" s="2">
        <f t="shared" si="132"/>
        <v>0.51756993014413</v>
      </c>
      <c r="AJ172" s="2">
        <f t="shared" si="133"/>
        <v>0.32619572521517598</v>
      </c>
      <c r="AK172" s="2">
        <f t="shared" si="134"/>
        <v>0.14651005044160001</v>
      </c>
      <c r="AL172" s="2">
        <f t="shared" si="135"/>
        <v>0.16568581288791501</v>
      </c>
      <c r="AM172" s="2">
        <f t="shared" si="136"/>
        <v>4.6689355063046403</v>
      </c>
      <c r="AN172" s="2">
        <f t="shared" si="137"/>
        <v>9.7640321955500001E-2</v>
      </c>
      <c r="AO172" s="2">
        <f t="shared" si="138"/>
        <v>0.50939348692619602</v>
      </c>
      <c r="AP172" s="2">
        <f t="shared" si="139"/>
        <v>3.0765867282710402</v>
      </c>
      <c r="AQ172" s="2">
        <f t="shared" si="140"/>
        <v>9.2047019955400003E-2</v>
      </c>
      <c r="AR172" s="2">
        <f t="shared" si="141"/>
        <v>0.46659746667027602</v>
      </c>
      <c r="AS172" s="2">
        <f t="shared" si="142"/>
        <v>0.76681063032671104</v>
      </c>
      <c r="AT172" s="2">
        <f t="shared" si="143"/>
        <v>0.12622927572680401</v>
      </c>
      <c r="AU172" s="2">
        <f t="shared" si="144"/>
        <v>0.34706909778794998</v>
      </c>
      <c r="AV172" s="2">
        <f t="shared" si="145"/>
        <v>0.11434422932989299</v>
      </c>
      <c r="AW172" s="2">
        <f t="shared" si="146"/>
        <v>0.533865832259378</v>
      </c>
      <c r="AX172" s="2">
        <f t="shared" si="147"/>
        <v>-1.7175383131400001E-2</v>
      </c>
      <c r="AY172" s="5">
        <f t="shared" si="148"/>
        <v>1.03350914815647</v>
      </c>
      <c r="AZ172" s="2">
        <f t="shared" si="149"/>
        <v>0.110567499948051</v>
      </c>
      <c r="BA172" s="2">
        <f t="shared" si="150"/>
        <v>0.69544924283395704</v>
      </c>
      <c r="BB172" s="2">
        <f t="shared" si="151"/>
        <v>6.2960797803081101E-2</v>
      </c>
      <c r="BC172" s="2">
        <f t="shared" si="152"/>
        <v>0.53995642248548503</v>
      </c>
      <c r="BD172" s="2">
        <f t="shared" si="153"/>
        <v>6.7535533731580305E-2</v>
      </c>
      <c r="BE172" s="2">
        <f t="shared" si="154"/>
        <v>-3.5778194103864E-2</v>
      </c>
      <c r="BF172" s="2">
        <f t="shared" si="155"/>
        <v>0.33518315183963798</v>
      </c>
    </row>
    <row r="173" spans="1:58" s="2" customFormat="1" x14ac:dyDescent="0.15">
      <c r="A173" s="3">
        <v>219</v>
      </c>
      <c r="B173" s="4">
        <v>2.4353094092499999E-2</v>
      </c>
      <c r="C173" s="4">
        <v>4.8348731829799999E-2</v>
      </c>
      <c r="D173" s="4">
        <v>3.1497748162299999E-2</v>
      </c>
      <c r="E173" s="4">
        <v>0.172578699477</v>
      </c>
      <c r="F173" s="4">
        <v>0.30330844671700002</v>
      </c>
      <c r="G173" s="2">
        <f t="shared" si="104"/>
        <v>6.2733485499624697</v>
      </c>
      <c r="H173" s="2">
        <f t="shared" si="105"/>
        <v>0.25495971488719998</v>
      </c>
      <c r="I173" s="2">
        <f t="shared" si="106"/>
        <v>0.72502349003880495</v>
      </c>
      <c r="J173" s="2">
        <f t="shared" si="107"/>
        <v>-0.141030303790395</v>
      </c>
      <c r="K173" s="2">
        <f t="shared" si="108"/>
        <v>5.2733485499624697</v>
      </c>
      <c r="L173" s="2">
        <f t="shared" si="109"/>
        <v>1.9553264612040799</v>
      </c>
      <c r="M173" s="2">
        <f t="shared" si="110"/>
        <v>0.44905342427027301</v>
      </c>
      <c r="N173" s="2">
        <f t="shared" si="111"/>
        <v>0.435361397819364</v>
      </c>
      <c r="O173" s="2">
        <f t="shared" si="112"/>
        <v>0.57803013750172605</v>
      </c>
      <c r="P173" s="2">
        <f t="shared" si="113"/>
        <v>0.42994392925917302</v>
      </c>
      <c r="Q173" s="2">
        <f t="shared" si="114"/>
        <v>0.81184489030344797</v>
      </c>
      <c r="R173" s="2">
        <f t="shared" si="115"/>
        <v>9.6295279635270301</v>
      </c>
      <c r="S173" s="2">
        <f t="shared" si="116"/>
        <v>0.63722001378815496</v>
      </c>
      <c r="T173" s="2">
        <f t="shared" si="117"/>
        <v>7.2159697097936903E-2</v>
      </c>
      <c r="U173" s="2">
        <f t="shared" si="118"/>
        <v>0.48839604968551997</v>
      </c>
      <c r="V173" s="2">
        <f t="shared" si="119"/>
        <v>0.48443062770558099</v>
      </c>
      <c r="W173" s="2">
        <f t="shared" si="120"/>
        <v>0.27181069855470003</v>
      </c>
      <c r="X173" s="2">
        <f t="shared" si="121"/>
        <v>0.46975326156552</v>
      </c>
      <c r="Y173" s="2">
        <f t="shared" si="122"/>
        <v>1.1453579747412801</v>
      </c>
      <c r="Z173" s="2">
        <f t="shared" si="123"/>
        <v>2.1031480730907801</v>
      </c>
      <c r="AA173" s="2">
        <f t="shared" si="124"/>
        <v>3.28847689553182</v>
      </c>
      <c r="AB173" s="2">
        <f t="shared" si="125"/>
        <v>0.16740309743965001</v>
      </c>
      <c r="AC173" s="2">
        <f t="shared" si="126"/>
        <v>1.75750801017841</v>
      </c>
      <c r="AD173" s="2">
        <f t="shared" si="127"/>
        <v>0.13072974724</v>
      </c>
      <c r="AE173" s="2">
        <f t="shared" si="128"/>
        <v>0.27470745592844098</v>
      </c>
      <c r="AF173" s="2">
        <f t="shared" si="129"/>
        <v>0.189505768456975</v>
      </c>
      <c r="AG173" s="5">
        <f t="shared" si="130"/>
        <v>0.20093985418783</v>
      </c>
      <c r="AH173" s="2">
        <f t="shared" si="131"/>
        <v>56.389690240405201</v>
      </c>
      <c r="AI173" s="2">
        <f t="shared" si="132"/>
        <v>0.75750801017840996</v>
      </c>
      <c r="AJ173" s="2">
        <f t="shared" si="133"/>
        <v>0.45617222440820199</v>
      </c>
      <c r="AK173" s="2">
        <f t="shared" si="134"/>
        <v>0.23489837768675401</v>
      </c>
      <c r="AL173" s="2">
        <f t="shared" si="135"/>
        <v>0.238480220438573</v>
      </c>
      <c r="AM173" s="2">
        <f t="shared" si="136"/>
        <v>9.6295279635270301</v>
      </c>
      <c r="AN173" s="2">
        <f t="shared" si="137"/>
        <v>0.1410809513147</v>
      </c>
      <c r="AO173" s="2">
        <f t="shared" si="138"/>
        <v>0.69131422536351195</v>
      </c>
      <c r="AP173" s="2">
        <f t="shared" si="139"/>
        <v>5.4790805548303103</v>
      </c>
      <c r="AQ173" s="2">
        <f t="shared" si="140"/>
        <v>0.1242299676472</v>
      </c>
      <c r="AR173" s="2">
        <f t="shared" si="141"/>
        <v>0.562311193826732</v>
      </c>
      <c r="AS173" s="2">
        <f t="shared" si="142"/>
        <v>0.92662932891903904</v>
      </c>
      <c r="AT173" s="2">
        <f t="shared" si="143"/>
        <v>9.2227056286302095E-2</v>
      </c>
      <c r="AU173" s="2">
        <f t="shared" si="144"/>
        <v>0.329200473892718</v>
      </c>
      <c r="AV173" s="2">
        <f t="shared" si="145"/>
        <v>6.2078608395033097E-2</v>
      </c>
      <c r="AW173" s="2">
        <f t="shared" si="146"/>
        <v>0.59778769547681498</v>
      </c>
      <c r="AX173" s="2">
        <f t="shared" si="147"/>
        <v>6.4997795928000302E-3</v>
      </c>
      <c r="AY173" s="5">
        <f t="shared" si="148"/>
        <v>1.0660927302768399</v>
      </c>
      <c r="AZ173" s="2">
        <f t="shared" si="149"/>
        <v>0.16538312463256499</v>
      </c>
      <c r="BA173" s="2">
        <f t="shared" si="150"/>
        <v>0.59977162189524502</v>
      </c>
      <c r="BB173" s="2">
        <f t="shared" si="151"/>
        <v>0.140139829705487</v>
      </c>
      <c r="BC173" s="2">
        <f t="shared" si="152"/>
        <v>0.76740400188212499</v>
      </c>
      <c r="BD173" s="2">
        <f t="shared" si="153"/>
        <v>0.105563553742755</v>
      </c>
      <c r="BE173" s="2">
        <f t="shared" si="154"/>
        <v>-5.5479135040319904E-3</v>
      </c>
      <c r="BF173" s="2">
        <f t="shared" si="155"/>
        <v>0.37889455955935802</v>
      </c>
    </row>
    <row r="174" spans="1:58" s="2" customFormat="1" x14ac:dyDescent="0.15">
      <c r="A174" s="3">
        <v>214</v>
      </c>
      <c r="B174" s="4">
        <v>2.59683062656E-2</v>
      </c>
      <c r="C174" s="4">
        <v>4.9192103009099999E-2</v>
      </c>
      <c r="D174" s="4">
        <v>3.6874110382400002E-2</v>
      </c>
      <c r="E174" s="4">
        <v>0.156808463097</v>
      </c>
      <c r="F174" s="4">
        <v>0.25827084182100002</v>
      </c>
      <c r="G174" s="2">
        <f t="shared" si="104"/>
        <v>5.2502500609340199</v>
      </c>
      <c r="H174" s="2">
        <f t="shared" si="105"/>
        <v>0.20907873881190001</v>
      </c>
      <c r="I174" s="2">
        <f t="shared" si="106"/>
        <v>0.680012802607593</v>
      </c>
      <c r="J174" s="2">
        <f t="shared" si="107"/>
        <v>-0.226971277233109</v>
      </c>
      <c r="K174" s="2">
        <f t="shared" si="108"/>
        <v>4.2502500609340199</v>
      </c>
      <c r="L174" s="2">
        <f t="shared" si="109"/>
        <v>1.70006601510613</v>
      </c>
      <c r="M174" s="2">
        <f t="shared" si="110"/>
        <v>0.38839938132868601</v>
      </c>
      <c r="N174" s="2">
        <f t="shared" si="111"/>
        <v>0.36226933685905199</v>
      </c>
      <c r="O174" s="2">
        <f t="shared" si="112"/>
        <v>0.518824731893888</v>
      </c>
      <c r="P174" s="2">
        <f t="shared" si="113"/>
        <v>0.37706261966037002</v>
      </c>
      <c r="Q174" s="2">
        <f t="shared" si="114"/>
        <v>0.75012880886414002</v>
      </c>
      <c r="R174" s="2">
        <f t="shared" si="115"/>
        <v>7.0041240084878797</v>
      </c>
      <c r="S174" s="2">
        <f t="shared" si="116"/>
        <v>0.56426025868349206</v>
      </c>
      <c r="T174" s="2">
        <f t="shared" si="117"/>
        <v>-8.6664255699088394E-2</v>
      </c>
      <c r="U174" s="2">
        <f t="shared" si="118"/>
        <v>0.41765353126828297</v>
      </c>
      <c r="V174" s="2">
        <f t="shared" si="119"/>
        <v>0.39470350737148202</v>
      </c>
      <c r="W174" s="2">
        <f t="shared" si="120"/>
        <v>0.2213967314386</v>
      </c>
      <c r="X174" s="2">
        <f t="shared" si="121"/>
        <v>0.40752431392550198</v>
      </c>
      <c r="Y174" s="2">
        <f t="shared" si="122"/>
        <v>1.11809159234123</v>
      </c>
      <c r="Z174" s="2">
        <f t="shared" si="123"/>
        <v>1.6465305606563201</v>
      </c>
      <c r="AA174" s="2">
        <f t="shared" si="124"/>
        <v>3.1768387705002898</v>
      </c>
      <c r="AB174" s="2">
        <f t="shared" si="125"/>
        <v>0.14757247610169999</v>
      </c>
      <c r="AC174" s="2">
        <f t="shared" si="126"/>
        <v>1.6470465733806501</v>
      </c>
      <c r="AD174" s="2">
        <f t="shared" si="127"/>
        <v>0.101462378724</v>
      </c>
      <c r="AE174" s="2">
        <f t="shared" si="128"/>
        <v>0.24444094784259199</v>
      </c>
      <c r="AF174" s="2">
        <f t="shared" si="129"/>
        <v>0.15748511048876501</v>
      </c>
      <c r="AG174" s="5">
        <f t="shared" si="130"/>
        <v>0.16631735333544501</v>
      </c>
      <c r="AH174" s="2">
        <f t="shared" si="131"/>
        <v>49.898372850100898</v>
      </c>
      <c r="AI174" s="2">
        <f t="shared" si="132"/>
        <v>0.64704657338064997</v>
      </c>
      <c r="AJ174" s="2">
        <f t="shared" si="133"/>
        <v>0.39769923019219799</v>
      </c>
      <c r="AK174" s="2">
        <f t="shared" si="134"/>
        <v>0.191403551848328</v>
      </c>
      <c r="AL174" s="2">
        <f t="shared" si="135"/>
        <v>0.20466109337150001</v>
      </c>
      <c r="AM174" s="2">
        <f t="shared" si="136"/>
        <v>7.0041240084878797</v>
      </c>
      <c r="AN174" s="2">
        <f t="shared" si="137"/>
        <v>0.1199343527146</v>
      </c>
      <c r="AO174" s="2">
        <f t="shared" si="138"/>
        <v>0.61923151143670696</v>
      </c>
      <c r="AP174" s="2">
        <f t="shared" si="139"/>
        <v>4.2525354909130098</v>
      </c>
      <c r="AQ174" s="2">
        <f t="shared" si="140"/>
        <v>0.1076163600879</v>
      </c>
      <c r="AR174" s="2">
        <f t="shared" si="141"/>
        <v>0.52240807936650302</v>
      </c>
      <c r="AS174" s="2">
        <f t="shared" si="142"/>
        <v>0.84598262655774203</v>
      </c>
      <c r="AT174" s="2">
        <f t="shared" si="143"/>
        <v>0.105955486745857</v>
      </c>
      <c r="AU174" s="2">
        <f t="shared" si="144"/>
        <v>0.33775171251041602</v>
      </c>
      <c r="AV174" s="2">
        <f t="shared" si="145"/>
        <v>8.1588299001769601E-2</v>
      </c>
      <c r="AW174" s="2">
        <f t="shared" si="146"/>
        <v>0.57145456384998194</v>
      </c>
      <c r="AX174" s="2">
        <f t="shared" si="147"/>
        <v>-6.1539813638999798E-3</v>
      </c>
      <c r="AY174" s="5">
        <f t="shared" si="148"/>
        <v>1.05891556787026</v>
      </c>
      <c r="AZ174" s="2">
        <f t="shared" si="149"/>
        <v>0.138596110384444</v>
      </c>
      <c r="BA174" s="2">
        <f t="shared" si="150"/>
        <v>0.63103781977197604</v>
      </c>
      <c r="BB174" s="2">
        <f t="shared" si="151"/>
        <v>9.8240779139036394E-2</v>
      </c>
      <c r="BC174" s="2">
        <f t="shared" si="152"/>
        <v>0.64497993401095199</v>
      </c>
      <c r="BD174" s="2">
        <f t="shared" si="153"/>
        <v>8.5596699447826705E-2</v>
      </c>
      <c r="BE174" s="2">
        <f t="shared" si="154"/>
        <v>-2.1775696374563999E-2</v>
      </c>
      <c r="BF174" s="2">
        <f t="shared" si="155"/>
        <v>0.35946521433898398</v>
      </c>
    </row>
    <row r="175" spans="1:58" s="2" customFormat="1" x14ac:dyDescent="0.15">
      <c r="A175" s="3">
        <v>216</v>
      </c>
      <c r="B175" s="4">
        <v>2.5012071327999999E-2</v>
      </c>
      <c r="C175" s="4">
        <v>5.0503747529799997E-2</v>
      </c>
      <c r="D175" s="4">
        <v>3.4782667079100001E-2</v>
      </c>
      <c r="E175" s="4">
        <v>0.16910978807300001</v>
      </c>
      <c r="F175" s="4">
        <v>0.28236926895600001</v>
      </c>
      <c r="G175" s="2">
        <f t="shared" si="104"/>
        <v>5.5910557684731499</v>
      </c>
      <c r="H175" s="2">
        <f t="shared" si="105"/>
        <v>0.23186552142620001</v>
      </c>
      <c r="I175" s="2">
        <f t="shared" si="106"/>
        <v>0.69655847708548402</v>
      </c>
      <c r="J175" s="2">
        <f t="shared" si="107"/>
        <v>-0.19694060147345399</v>
      </c>
      <c r="K175" s="2">
        <f t="shared" si="108"/>
        <v>4.5910557684731499</v>
      </c>
      <c r="L175" s="2">
        <f t="shared" si="109"/>
        <v>1.7882781702806201</v>
      </c>
      <c r="M175" s="2">
        <f t="shared" si="110"/>
        <v>0.41758860625211502</v>
      </c>
      <c r="N175" s="2">
        <f t="shared" si="111"/>
        <v>0.39718018531739802</v>
      </c>
      <c r="O175" s="2">
        <f t="shared" si="112"/>
        <v>0.54570649205370103</v>
      </c>
      <c r="P175" s="2">
        <f t="shared" si="113"/>
        <v>0.40188044801068101</v>
      </c>
      <c r="Q175" s="2">
        <f t="shared" si="114"/>
        <v>0.78065612643619198</v>
      </c>
      <c r="R175" s="2">
        <f t="shared" si="115"/>
        <v>8.1181028560535093</v>
      </c>
      <c r="S175" s="2">
        <f t="shared" si="116"/>
        <v>0.60190567508475401</v>
      </c>
      <c r="T175" s="2">
        <f t="shared" si="117"/>
        <v>-1.3082777381993999E-2</v>
      </c>
      <c r="U175" s="2">
        <f t="shared" si="118"/>
        <v>0.45448084552956097</v>
      </c>
      <c r="V175" s="2">
        <f t="shared" si="119"/>
        <v>0.44042121843816801</v>
      </c>
      <c r="W175" s="2">
        <f t="shared" si="120"/>
        <v>0.24758660187689999</v>
      </c>
      <c r="X175" s="2">
        <f t="shared" si="121"/>
        <v>0.43963621049536</v>
      </c>
      <c r="Y175" s="2">
        <f t="shared" si="122"/>
        <v>1.1316607824061899</v>
      </c>
      <c r="Z175" s="2">
        <f t="shared" si="123"/>
        <v>1.8492284668052701</v>
      </c>
      <c r="AA175" s="2">
        <f t="shared" si="124"/>
        <v>3.2295131245237498</v>
      </c>
      <c r="AB175" s="2">
        <f t="shared" si="125"/>
        <v>0.15857596801755</v>
      </c>
      <c r="AC175" s="2">
        <f t="shared" si="126"/>
        <v>1.6697393579259201</v>
      </c>
      <c r="AD175" s="2">
        <f t="shared" si="127"/>
        <v>0.113259480883</v>
      </c>
      <c r="AE175" s="2">
        <f t="shared" si="128"/>
        <v>0.25086319978675098</v>
      </c>
      <c r="AF175" s="2">
        <f t="shared" si="129"/>
        <v>0.16856048107577201</v>
      </c>
      <c r="AG175" s="5">
        <f t="shared" si="130"/>
        <v>0.17855277009982801</v>
      </c>
      <c r="AH175" s="2">
        <f t="shared" si="131"/>
        <v>51.266754114974098</v>
      </c>
      <c r="AI175" s="2">
        <f t="shared" si="132"/>
        <v>0.66973935792592298</v>
      </c>
      <c r="AJ175" s="2">
        <f t="shared" si="133"/>
        <v>0.40989383790491601</v>
      </c>
      <c r="AK175" s="2">
        <f t="shared" si="134"/>
        <v>0.207904079807751</v>
      </c>
      <c r="AL175" s="2">
        <f t="shared" si="135"/>
        <v>0.21485772294904501</v>
      </c>
      <c r="AM175" s="2">
        <f t="shared" si="136"/>
        <v>8.1181028560535093</v>
      </c>
      <c r="AN175" s="2">
        <f t="shared" si="137"/>
        <v>0.13432712099390001</v>
      </c>
      <c r="AO175" s="2">
        <f t="shared" si="138"/>
        <v>0.65881359314494703</v>
      </c>
      <c r="AP175" s="2">
        <f t="shared" si="139"/>
        <v>4.86189824628525</v>
      </c>
      <c r="AQ175" s="2">
        <f t="shared" si="140"/>
        <v>0.11860604054319999</v>
      </c>
      <c r="AR175" s="2">
        <f t="shared" si="141"/>
        <v>0.54006707836858803</v>
      </c>
      <c r="AS175" s="2">
        <f t="shared" si="142"/>
        <v>0.84316167907851802</v>
      </c>
      <c r="AT175" s="2">
        <f t="shared" si="143"/>
        <v>0.100608520991448</v>
      </c>
      <c r="AU175" s="2">
        <f t="shared" si="144"/>
        <v>0.33688362736176403</v>
      </c>
      <c r="AV175" s="2">
        <f t="shared" si="145"/>
        <v>7.1530752585756696E-2</v>
      </c>
      <c r="AW175" s="2">
        <f t="shared" si="146"/>
        <v>0.58069400686208805</v>
      </c>
      <c r="AX175" s="2">
        <f t="shared" si="147"/>
        <v>-5.34655966020001E-3</v>
      </c>
      <c r="AY175" s="5">
        <f t="shared" si="148"/>
        <v>1.0678025795038399</v>
      </c>
      <c r="AZ175" s="2">
        <f t="shared" si="149"/>
        <v>0.14760782917163501</v>
      </c>
      <c r="BA175" s="2">
        <f t="shared" si="150"/>
        <v>0.61136765202452503</v>
      </c>
      <c r="BB175" s="2">
        <f t="shared" si="151"/>
        <v>0.111682815514335</v>
      </c>
      <c r="BC175" s="2">
        <f t="shared" si="152"/>
        <v>0.70835213858576596</v>
      </c>
      <c r="BD175" s="2">
        <f t="shared" si="153"/>
        <v>9.1735386459602206E-2</v>
      </c>
      <c r="BE175" s="2">
        <f t="shared" si="154"/>
        <v>-2.1931770775872099E-2</v>
      </c>
      <c r="BF175" s="2">
        <f t="shared" si="155"/>
        <v>0.36014664674874702</v>
      </c>
    </row>
    <row r="176" spans="1:58" s="2" customFormat="1" x14ac:dyDescent="0.15">
      <c r="A176" s="3">
        <v>179.5</v>
      </c>
      <c r="B176" s="4">
        <v>2.6510997727699999E-2</v>
      </c>
      <c r="C176" s="4">
        <v>4.9364658500399998E-2</v>
      </c>
      <c r="D176" s="4">
        <v>3.9715290352700001E-2</v>
      </c>
      <c r="E176" s="4">
        <v>0.14658691292199999</v>
      </c>
      <c r="F176" s="4">
        <v>0.225152617227</v>
      </c>
      <c r="G176" s="2">
        <f t="shared" si="104"/>
        <v>4.5610083016207996</v>
      </c>
      <c r="H176" s="2">
        <f t="shared" si="105"/>
        <v>0.1757879587266</v>
      </c>
      <c r="I176" s="2">
        <f t="shared" si="106"/>
        <v>0.64035299148589897</v>
      </c>
      <c r="J176" s="2">
        <f t="shared" si="107"/>
        <v>-0.29255662200592503</v>
      </c>
      <c r="K176" s="2">
        <f t="shared" si="108"/>
        <v>3.5610083016208001</v>
      </c>
      <c r="L176" s="2">
        <f t="shared" si="109"/>
        <v>1.5100669914440901</v>
      </c>
      <c r="M176" s="2">
        <f t="shared" si="110"/>
        <v>0.34044681294198198</v>
      </c>
      <c r="N176" s="2">
        <f t="shared" si="111"/>
        <v>0.30769555258685299</v>
      </c>
      <c r="O176" s="2">
        <f t="shared" si="112"/>
        <v>0.46928866471763497</v>
      </c>
      <c r="P176" s="2">
        <f t="shared" si="113"/>
        <v>0.33550908368891902</v>
      </c>
      <c r="Q176" s="2">
        <f t="shared" si="114"/>
        <v>0.70011247707879098</v>
      </c>
      <c r="R176" s="2">
        <f t="shared" si="115"/>
        <v>5.6691670947759603</v>
      </c>
      <c r="S176" s="2">
        <f t="shared" si="116"/>
        <v>0.50629218007913801</v>
      </c>
      <c r="T176" s="2">
        <f t="shared" si="117"/>
        <v>-0.19026360700615999</v>
      </c>
      <c r="U176" s="2">
        <f t="shared" si="118"/>
        <v>0.363665395756542</v>
      </c>
      <c r="V176" s="2">
        <f t="shared" si="119"/>
        <v>0.331488211263535</v>
      </c>
      <c r="W176" s="2">
        <f t="shared" si="120"/>
        <v>0.18543732687430001</v>
      </c>
      <c r="X176" s="2">
        <f t="shared" si="121"/>
        <v>0.36031512077740502</v>
      </c>
      <c r="Y176" s="2">
        <f t="shared" si="122"/>
        <v>1.0954964523351001</v>
      </c>
      <c r="Z176" s="2">
        <f t="shared" si="123"/>
        <v>1.3810012798770099</v>
      </c>
      <c r="AA176" s="2">
        <f t="shared" si="124"/>
        <v>3.1110032635836098</v>
      </c>
      <c r="AB176" s="2">
        <f t="shared" si="125"/>
        <v>0.13243395378985001</v>
      </c>
      <c r="AC176" s="2">
        <f t="shared" si="126"/>
        <v>1.5359667022035299</v>
      </c>
      <c r="AD176" s="2">
        <f t="shared" si="127"/>
        <v>7.8565704304999998E-2</v>
      </c>
      <c r="AE176" s="2">
        <f t="shared" si="128"/>
        <v>0.21134611181519899</v>
      </c>
      <c r="AF176" s="2">
        <f t="shared" si="129"/>
        <v>0.12885866725558001</v>
      </c>
      <c r="AG176" s="5">
        <f t="shared" si="130"/>
        <v>0.13518780826350399</v>
      </c>
      <c r="AH176" s="2">
        <f t="shared" si="131"/>
        <v>42.915995623759201</v>
      </c>
      <c r="AI176" s="2">
        <f t="shared" si="132"/>
        <v>0.53596670220352804</v>
      </c>
      <c r="AJ176" s="2">
        <f t="shared" si="133"/>
        <v>0.33656274091635602</v>
      </c>
      <c r="AK176" s="2">
        <f t="shared" si="134"/>
        <v>0.15407700504837801</v>
      </c>
      <c r="AL176" s="2">
        <f t="shared" si="135"/>
        <v>0.17139259322748199</v>
      </c>
      <c r="AM176" s="2">
        <f t="shared" si="136"/>
        <v>5.6691670947759603</v>
      </c>
      <c r="AN176" s="2">
        <f t="shared" si="137"/>
        <v>0.1068716225693</v>
      </c>
      <c r="AO176" s="2">
        <f t="shared" si="138"/>
        <v>0.57364658437087401</v>
      </c>
      <c r="AP176" s="2">
        <f t="shared" si="139"/>
        <v>3.69094400721244</v>
      </c>
      <c r="AQ176" s="2">
        <f t="shared" si="140"/>
        <v>9.7222254421599999E-2</v>
      </c>
      <c r="AR176" s="2">
        <f t="shared" si="141"/>
        <v>0.49615450244093401</v>
      </c>
      <c r="AS176" s="2">
        <f t="shared" si="142"/>
        <v>0.73514093279583903</v>
      </c>
      <c r="AT176" s="2">
        <f t="shared" si="143"/>
        <v>0.117226709757332</v>
      </c>
      <c r="AU176" s="2">
        <f t="shared" si="144"/>
        <v>0.34810129386778499</v>
      </c>
      <c r="AV176" s="2">
        <f t="shared" si="145"/>
        <v>9.6524061388499199E-2</v>
      </c>
      <c r="AW176" s="2">
        <f t="shared" si="146"/>
        <v>0.54721103267781401</v>
      </c>
      <c r="AX176" s="2">
        <f t="shared" si="147"/>
        <v>-1.8656550116600001E-2</v>
      </c>
      <c r="AY176" s="5">
        <f t="shared" si="148"/>
        <v>1.05489208827271</v>
      </c>
      <c r="AZ176" s="2">
        <f t="shared" si="149"/>
        <v>0.113243673081502</v>
      </c>
      <c r="BA176" s="2">
        <f t="shared" si="150"/>
        <v>0.64940801760246902</v>
      </c>
      <c r="BB176" s="2">
        <f t="shared" si="151"/>
        <v>6.6673415497171207E-2</v>
      </c>
      <c r="BC176" s="2">
        <f t="shared" si="152"/>
        <v>0.55505677830147904</v>
      </c>
      <c r="BD176" s="2">
        <f t="shared" si="153"/>
        <v>6.4801777260266299E-2</v>
      </c>
      <c r="BE176" s="2">
        <f t="shared" si="154"/>
        <v>-3.8532102698496003E-2</v>
      </c>
      <c r="BF176" s="2">
        <f t="shared" si="155"/>
        <v>0.33004626296003298</v>
      </c>
    </row>
    <row r="177" spans="1:58" s="2" customFormat="1" x14ac:dyDescent="0.15">
      <c r="A177" s="3">
        <v>176.5</v>
      </c>
      <c r="B177" s="4">
        <v>2.8815119833199999E-2</v>
      </c>
      <c r="C177" s="4">
        <v>5.2836597176999997E-2</v>
      </c>
      <c r="D177" s="4">
        <v>4.5670073498099997E-2</v>
      </c>
      <c r="E177" s="4">
        <v>0.14974946883099999</v>
      </c>
      <c r="F177" s="4">
        <v>0.22694227944799999</v>
      </c>
      <c r="G177" s="2">
        <f t="shared" si="104"/>
        <v>4.2951721263909999</v>
      </c>
      <c r="H177" s="2">
        <f t="shared" si="105"/>
        <v>0.17410568227100001</v>
      </c>
      <c r="I177" s="2">
        <f t="shared" si="106"/>
        <v>0.62229745280006099</v>
      </c>
      <c r="J177" s="2">
        <f t="shared" si="107"/>
        <v>-0.31976556686150198</v>
      </c>
      <c r="K177" s="2">
        <f t="shared" si="108"/>
        <v>3.2951721263909999</v>
      </c>
      <c r="L177" s="2">
        <f t="shared" si="109"/>
        <v>1.4319836663841099</v>
      </c>
      <c r="M177" s="2">
        <f t="shared" si="110"/>
        <v>0.33491356490295499</v>
      </c>
      <c r="N177" s="2">
        <f t="shared" si="111"/>
        <v>0.30240286654614201</v>
      </c>
      <c r="O177" s="2">
        <f t="shared" si="112"/>
        <v>0.459236680452421</v>
      </c>
      <c r="P177" s="2">
        <f t="shared" si="113"/>
        <v>0.329158810599473</v>
      </c>
      <c r="Q177" s="2">
        <f t="shared" si="114"/>
        <v>0.66494494468392795</v>
      </c>
      <c r="R177" s="2">
        <f t="shared" si="115"/>
        <v>4.9691682553880998</v>
      </c>
      <c r="S177" s="2">
        <f t="shared" si="116"/>
        <v>0.48606045913830498</v>
      </c>
      <c r="T177" s="2">
        <f t="shared" si="117"/>
        <v>-0.25289717543033802</v>
      </c>
      <c r="U177" s="2">
        <f t="shared" si="118"/>
        <v>0.35193368043886197</v>
      </c>
      <c r="V177" s="2">
        <f t="shared" si="119"/>
        <v>0.319633225105656</v>
      </c>
      <c r="W177" s="2">
        <f t="shared" si="120"/>
        <v>0.18127220594990001</v>
      </c>
      <c r="X177" s="2">
        <f t="shared" si="121"/>
        <v>0.347183002115729</v>
      </c>
      <c r="Y177" s="2">
        <f t="shared" si="122"/>
        <v>1.0793261530621401</v>
      </c>
      <c r="Z177" s="2">
        <f t="shared" si="123"/>
        <v>1.2291631289316001</v>
      </c>
      <c r="AA177" s="2">
        <f t="shared" si="124"/>
        <v>3.0759957861312599</v>
      </c>
      <c r="AB177" s="2">
        <f t="shared" si="125"/>
        <v>0.13630617647304999</v>
      </c>
      <c r="AC177" s="2">
        <f t="shared" si="126"/>
        <v>1.5154796956516501</v>
      </c>
      <c r="AD177" s="2">
        <f t="shared" si="127"/>
        <v>7.7192810616999993E-2</v>
      </c>
      <c r="AE177" s="2">
        <f t="shared" si="128"/>
        <v>0.204923019868825</v>
      </c>
      <c r="AF177" s="2">
        <f t="shared" si="129"/>
        <v>0.12577195181676201</v>
      </c>
      <c r="AG177" s="5">
        <f t="shared" si="130"/>
        <v>0.13207517482946701</v>
      </c>
      <c r="AH177" s="2">
        <f t="shared" si="131"/>
        <v>41.573201963754997</v>
      </c>
      <c r="AI177" s="2">
        <f t="shared" si="132"/>
        <v>0.51547969565164897</v>
      </c>
      <c r="AJ177" s="2">
        <f t="shared" si="133"/>
        <v>0.32501331651795301</v>
      </c>
      <c r="AK177" s="2">
        <f t="shared" si="134"/>
        <v>0.14986715586927399</v>
      </c>
      <c r="AL177" s="2">
        <f t="shared" si="135"/>
        <v>0.16684374336452601</v>
      </c>
      <c r="AM177" s="2">
        <f t="shared" si="136"/>
        <v>4.9691682553880998</v>
      </c>
      <c r="AN177" s="2">
        <f t="shared" si="137"/>
        <v>0.1040793953329</v>
      </c>
      <c r="AO177" s="2">
        <f t="shared" si="138"/>
        <v>0.53259461204562197</v>
      </c>
      <c r="AP177" s="2">
        <f t="shared" si="139"/>
        <v>3.2789408328241501</v>
      </c>
      <c r="AQ177" s="2">
        <f t="shared" si="140"/>
        <v>9.6912871654000005E-2</v>
      </c>
      <c r="AR177" s="2">
        <f t="shared" si="141"/>
        <v>0.478378762980535</v>
      </c>
      <c r="AS177" s="2">
        <f t="shared" si="142"/>
        <v>0.74167235858833802</v>
      </c>
      <c r="AT177" s="2">
        <f t="shared" si="143"/>
        <v>0.123010734299519</v>
      </c>
      <c r="AU177" s="2">
        <f t="shared" si="144"/>
        <v>0.34863698849029701</v>
      </c>
      <c r="AV177" s="2">
        <f t="shared" si="145"/>
        <v>0.108130212399269</v>
      </c>
      <c r="AW177" s="2">
        <f t="shared" si="146"/>
        <v>0.53731721890282003</v>
      </c>
      <c r="AX177" s="2">
        <f t="shared" si="147"/>
        <v>-1.9720061037000001E-2</v>
      </c>
      <c r="AY177" s="5">
        <f t="shared" si="148"/>
        <v>1.0411619172069599</v>
      </c>
      <c r="AZ177" s="2">
        <f t="shared" si="149"/>
        <v>0.111604196051641</v>
      </c>
      <c r="BA177" s="2">
        <f t="shared" si="150"/>
        <v>0.67473611058232297</v>
      </c>
      <c r="BB177" s="2">
        <f t="shared" si="151"/>
        <v>6.4213411864491005E-2</v>
      </c>
      <c r="BC177" s="2">
        <f t="shared" si="152"/>
        <v>0.55855217064120299</v>
      </c>
      <c r="BD177" s="2">
        <f t="shared" si="153"/>
        <v>6.6749823349165502E-2</v>
      </c>
      <c r="BE177" s="2">
        <f t="shared" si="154"/>
        <v>-4.0026432491760001E-2</v>
      </c>
      <c r="BF177" s="2">
        <f t="shared" si="155"/>
        <v>0.32930075311535201</v>
      </c>
    </row>
    <row r="178" spans="1:58" s="2" customFormat="1" x14ac:dyDescent="0.15">
      <c r="A178" s="3">
        <v>176.5</v>
      </c>
      <c r="B178" s="4">
        <v>3.19706424871E-2</v>
      </c>
      <c r="C178" s="4">
        <v>5.63612646419E-2</v>
      </c>
      <c r="D178" s="4">
        <v>5.2698112220899998E-2</v>
      </c>
      <c r="E178" s="4">
        <v>0.149109768916</v>
      </c>
      <c r="F178" s="4">
        <v>0.218537613022</v>
      </c>
      <c r="G178" s="2">
        <f t="shared" si="104"/>
        <v>3.87744338972009</v>
      </c>
      <c r="H178" s="2">
        <f t="shared" si="105"/>
        <v>0.1621763483801</v>
      </c>
      <c r="I178" s="2">
        <f t="shared" si="106"/>
        <v>0.58994911059033806</v>
      </c>
      <c r="J178" s="2">
        <f t="shared" si="107"/>
        <v>-0.36491453776242699</v>
      </c>
      <c r="K178" s="2">
        <f t="shared" si="108"/>
        <v>2.87744338972009</v>
      </c>
      <c r="L178" s="2">
        <f t="shared" si="109"/>
        <v>1.3028987560587399</v>
      </c>
      <c r="M178" s="2">
        <f t="shared" si="110"/>
        <v>0.31393066835187999</v>
      </c>
      <c r="N178" s="2">
        <f t="shared" si="111"/>
        <v>0.28042392393302201</v>
      </c>
      <c r="O178" s="2">
        <f t="shared" si="112"/>
        <v>0.43257081998336</v>
      </c>
      <c r="P178" s="2">
        <f t="shared" si="113"/>
        <v>0.309315037600225</v>
      </c>
      <c r="Q178" s="2">
        <f t="shared" si="114"/>
        <v>0.61142204129852595</v>
      </c>
      <c r="R178" s="2">
        <f t="shared" si="115"/>
        <v>4.1469723261799896</v>
      </c>
      <c r="S178" s="2">
        <f t="shared" si="116"/>
        <v>0.44609898871648102</v>
      </c>
      <c r="T178" s="2">
        <f t="shared" si="117"/>
        <v>-0.335437378007021</v>
      </c>
      <c r="U178" s="2">
        <f t="shared" si="118"/>
        <v>0.322546328002769</v>
      </c>
      <c r="V178" s="2">
        <f t="shared" si="119"/>
        <v>0.28886646001640998</v>
      </c>
      <c r="W178" s="2">
        <f t="shared" si="120"/>
        <v>0.16583950080109999</v>
      </c>
      <c r="X178" s="2">
        <f t="shared" si="121"/>
        <v>0.31843041014911999</v>
      </c>
      <c r="Y178" s="2">
        <f t="shared" si="122"/>
        <v>1.0542400302106401</v>
      </c>
      <c r="Z178" s="2">
        <f t="shared" si="123"/>
        <v>1.03641162984795</v>
      </c>
      <c r="AA178" s="2">
        <f t="shared" si="124"/>
        <v>3.0221917709831398</v>
      </c>
      <c r="AB178" s="2">
        <f t="shared" si="125"/>
        <v>0.13561786262145001</v>
      </c>
      <c r="AC178" s="2">
        <f t="shared" si="126"/>
        <v>1.46561566429032</v>
      </c>
      <c r="AD178" s="2">
        <f t="shared" si="127"/>
        <v>6.9427844106000003E-2</v>
      </c>
      <c r="AE178" s="2">
        <f t="shared" si="128"/>
        <v>0.188843569999115</v>
      </c>
      <c r="AF178" s="2">
        <f t="shared" si="129"/>
        <v>0.114503283526365</v>
      </c>
      <c r="AG178" s="5">
        <f t="shared" si="130"/>
        <v>0.120027753586239</v>
      </c>
      <c r="AH178" s="2">
        <f t="shared" si="131"/>
        <v>38.227540285163101</v>
      </c>
      <c r="AI178" s="2">
        <f t="shared" si="132"/>
        <v>0.46561566429032403</v>
      </c>
      <c r="AJ178" s="2">
        <f t="shared" si="133"/>
        <v>0.29652744273017001</v>
      </c>
      <c r="AK178" s="2">
        <f t="shared" si="134"/>
        <v>0.13503234192918201</v>
      </c>
      <c r="AL178" s="2">
        <f t="shared" si="135"/>
        <v>0.152632803496831</v>
      </c>
      <c r="AM178" s="2">
        <f t="shared" si="136"/>
        <v>4.1469723261799896</v>
      </c>
      <c r="AN178" s="2">
        <f t="shared" si="137"/>
        <v>9.6411656695100004E-2</v>
      </c>
      <c r="AO178" s="2">
        <f t="shared" si="138"/>
        <v>0.47773979961514701</v>
      </c>
      <c r="AP178" s="2">
        <f t="shared" si="139"/>
        <v>2.8295087363084601</v>
      </c>
      <c r="AQ178" s="2">
        <f t="shared" si="140"/>
        <v>9.2748504274100002E-2</v>
      </c>
      <c r="AR178" s="2">
        <f t="shared" si="141"/>
        <v>0.45139454777679999</v>
      </c>
      <c r="AS178" s="2">
        <f t="shared" si="142"/>
        <v>0.72011877490669196</v>
      </c>
      <c r="AT178" s="2">
        <f t="shared" si="143"/>
        <v>0.13292480022875999</v>
      </c>
      <c r="AU178" s="2">
        <f t="shared" si="144"/>
        <v>0.35166681179437198</v>
      </c>
      <c r="AV178" s="2">
        <f t="shared" si="145"/>
        <v>0.12536856693646101</v>
      </c>
      <c r="AW178" s="2">
        <f t="shared" si="146"/>
        <v>0.51989997765834906</v>
      </c>
      <c r="AX178" s="2">
        <f t="shared" si="147"/>
        <v>-2.3320660168099999E-2</v>
      </c>
      <c r="AY178" s="5">
        <f t="shared" si="148"/>
        <v>1.0225874639402699</v>
      </c>
      <c r="AZ178" s="2">
        <f t="shared" si="149"/>
        <v>0.10267433987093499</v>
      </c>
      <c r="BA178" s="2">
        <f t="shared" si="150"/>
        <v>0.71452575727044898</v>
      </c>
      <c r="BB178" s="2">
        <f t="shared" si="151"/>
        <v>5.4216896547004401E-2</v>
      </c>
      <c r="BC178" s="2">
        <f t="shared" si="152"/>
        <v>0.534787922338677</v>
      </c>
      <c r="BD178" s="2">
        <f t="shared" si="153"/>
        <v>6.2449350238692102E-2</v>
      </c>
      <c r="BE178" s="2">
        <f t="shared" si="154"/>
        <v>-4.4711571154955998E-2</v>
      </c>
      <c r="BF178" s="2">
        <f t="shared" si="155"/>
        <v>0.32010145724289102</v>
      </c>
    </row>
    <row r="179" spans="1:58" s="2" customFormat="1" x14ac:dyDescent="0.15">
      <c r="A179" s="3">
        <v>166.5</v>
      </c>
      <c r="B179" s="4">
        <v>3.0710377030599999E-2</v>
      </c>
      <c r="C179" s="4">
        <v>5.3745600631500003E-2</v>
      </c>
      <c r="D179" s="4">
        <v>5.0368007214199997E-2</v>
      </c>
      <c r="E179" s="4">
        <v>0.14528574845700001</v>
      </c>
      <c r="F179" s="4">
        <v>0.215288164629</v>
      </c>
      <c r="G179" s="2">
        <f t="shared" si="104"/>
        <v>4.0056890629076101</v>
      </c>
      <c r="H179" s="2">
        <f t="shared" si="105"/>
        <v>0.1615425639975</v>
      </c>
      <c r="I179" s="2">
        <f t="shared" si="106"/>
        <v>0.60045460777416404</v>
      </c>
      <c r="J179" s="2">
        <f t="shared" si="107"/>
        <v>-0.35072829365672697</v>
      </c>
      <c r="K179" s="2">
        <f t="shared" si="108"/>
        <v>3.0056890629076101</v>
      </c>
      <c r="L179" s="2">
        <f t="shared" si="109"/>
        <v>1.34342094942698</v>
      </c>
      <c r="M179" s="2">
        <f t="shared" si="110"/>
        <v>0.31508869563636099</v>
      </c>
      <c r="N179" s="2">
        <f t="shared" si="111"/>
        <v>0.28106238181166998</v>
      </c>
      <c r="O179" s="2">
        <f t="shared" si="112"/>
        <v>0.43677069128421903</v>
      </c>
      <c r="P179" s="2">
        <f t="shared" si="113"/>
        <v>0.31144658756189902</v>
      </c>
      <c r="Q179" s="2">
        <f t="shared" si="114"/>
        <v>0.62080303375048995</v>
      </c>
      <c r="R179" s="2">
        <f t="shared" si="115"/>
        <v>4.2743037998990898</v>
      </c>
      <c r="S179" s="2">
        <f t="shared" si="116"/>
        <v>0.44944111058641101</v>
      </c>
      <c r="T179" s="2">
        <f t="shared" si="117"/>
        <v>-0.32195006015322702</v>
      </c>
      <c r="U179" s="2">
        <f t="shared" si="118"/>
        <v>0.32309572523482699</v>
      </c>
      <c r="V179" s="2">
        <f t="shared" si="119"/>
        <v>0.28891175389697599</v>
      </c>
      <c r="W179" s="2">
        <f t="shared" si="120"/>
        <v>0.16492015741480001</v>
      </c>
      <c r="X179" s="2">
        <f t="shared" si="121"/>
        <v>0.31997333334157102</v>
      </c>
      <c r="Y179" s="2">
        <f t="shared" si="122"/>
        <v>1.0586798542290701</v>
      </c>
      <c r="Z179" s="2">
        <f t="shared" si="123"/>
        <v>1.06743894707899</v>
      </c>
      <c r="AA179" s="2">
        <f t="shared" si="124"/>
        <v>3.0321803536152698</v>
      </c>
      <c r="AB179" s="2">
        <f t="shared" si="125"/>
        <v>0.1328280859216</v>
      </c>
      <c r="AC179" s="2">
        <f t="shared" si="126"/>
        <v>1.4818257600312299</v>
      </c>
      <c r="AD179" s="2">
        <f t="shared" si="127"/>
        <v>7.0002416171999995E-2</v>
      </c>
      <c r="AE179" s="2">
        <f t="shared" si="128"/>
        <v>0.19414165482155599</v>
      </c>
      <c r="AF179" s="2">
        <f t="shared" si="129"/>
        <v>0.116577806280352</v>
      </c>
      <c r="AG179" s="5">
        <f t="shared" si="130"/>
        <v>0.122015811380407</v>
      </c>
      <c r="AH179" s="2">
        <f t="shared" si="131"/>
        <v>39.327494913277299</v>
      </c>
      <c r="AI179" s="2">
        <f t="shared" si="132"/>
        <v>0.48182576003122901</v>
      </c>
      <c r="AJ179" s="2">
        <f t="shared" si="133"/>
        <v>0.30584710295851603</v>
      </c>
      <c r="AK179" s="2">
        <f t="shared" si="134"/>
        <v>0.13714200723442199</v>
      </c>
      <c r="AL179" s="2">
        <f t="shared" si="135"/>
        <v>0.155987076413691</v>
      </c>
      <c r="AM179" s="2">
        <f t="shared" si="136"/>
        <v>4.2743037998990898</v>
      </c>
      <c r="AN179" s="2">
        <f t="shared" si="137"/>
        <v>9.4917741242800002E-2</v>
      </c>
      <c r="AO179" s="2">
        <f t="shared" si="138"/>
        <v>0.48513119984423497</v>
      </c>
      <c r="AP179" s="2">
        <f t="shared" si="139"/>
        <v>2.8844847452301101</v>
      </c>
      <c r="AQ179" s="2">
        <f t="shared" si="140"/>
        <v>9.1540147825500004E-2</v>
      </c>
      <c r="AR179" s="2">
        <f t="shared" si="141"/>
        <v>0.45992828890888099</v>
      </c>
      <c r="AS179" s="2">
        <f t="shared" si="142"/>
        <v>0.73750613168231105</v>
      </c>
      <c r="AT179" s="2">
        <f t="shared" si="143"/>
        <v>0.12972017694572299</v>
      </c>
      <c r="AU179" s="2">
        <f t="shared" si="144"/>
        <v>0.35066112902435398</v>
      </c>
      <c r="AV179" s="2">
        <f t="shared" si="145"/>
        <v>0.122567216256266</v>
      </c>
      <c r="AW179" s="2">
        <f t="shared" si="146"/>
        <v>0.52388951818721297</v>
      </c>
      <c r="AX179" s="2">
        <f t="shared" si="147"/>
        <v>-2.1537731653500002E-2</v>
      </c>
      <c r="AY179" s="5">
        <f t="shared" si="148"/>
        <v>1.0209083806380099</v>
      </c>
      <c r="AZ179" s="2">
        <f t="shared" si="149"/>
        <v>0.10392834106965899</v>
      </c>
      <c r="BA179" s="2">
        <f t="shared" si="150"/>
        <v>0.70132651952589597</v>
      </c>
      <c r="BB179" s="2">
        <f t="shared" si="151"/>
        <v>5.58557970134985E-2</v>
      </c>
      <c r="BC179" s="2">
        <f t="shared" si="152"/>
        <v>0.52749134312692803</v>
      </c>
      <c r="BD179" s="2">
        <f t="shared" si="153"/>
        <v>6.3377485952606394E-2</v>
      </c>
      <c r="BE179" s="2">
        <f t="shared" si="154"/>
        <v>-4.1999151320100001E-2</v>
      </c>
      <c r="BF179" s="2">
        <f t="shared" si="155"/>
        <v>0.32332444835626001</v>
      </c>
    </row>
    <row r="180" spans="1:58" s="2" customFormat="1" x14ac:dyDescent="0.15">
      <c r="A180" s="3">
        <v>163.5</v>
      </c>
      <c r="B180" s="4">
        <v>3.3819040344600003E-2</v>
      </c>
      <c r="C180" s="4">
        <v>5.7464434847399999E-2</v>
      </c>
      <c r="D180" s="4">
        <v>5.8646949460999999E-2</v>
      </c>
      <c r="E180" s="4">
        <v>0.13843290290800001</v>
      </c>
      <c r="F180" s="4">
        <v>0.19332031604899999</v>
      </c>
      <c r="G180" s="2">
        <f t="shared" si="104"/>
        <v>3.3641732762598799</v>
      </c>
      <c r="H180" s="2">
        <f t="shared" si="105"/>
        <v>0.1358558812016</v>
      </c>
      <c r="I180" s="2">
        <f t="shared" si="106"/>
        <v>0.54172305419687405</v>
      </c>
      <c r="J180" s="2">
        <f t="shared" si="107"/>
        <v>-0.42480506512372601</v>
      </c>
      <c r="K180" s="2">
        <f t="shared" si="108"/>
        <v>2.3641732762598799</v>
      </c>
      <c r="L180" s="2">
        <f t="shared" si="109"/>
        <v>1.1316921701002101</v>
      </c>
      <c r="M180" s="2">
        <f t="shared" si="110"/>
        <v>0.27142775816782699</v>
      </c>
      <c r="N180" s="2">
        <f t="shared" si="111"/>
        <v>0.23617559252800699</v>
      </c>
      <c r="O180" s="2">
        <f t="shared" si="112"/>
        <v>0.38363844288270799</v>
      </c>
      <c r="P180" s="2">
        <f t="shared" si="113"/>
        <v>0.27128631166193801</v>
      </c>
      <c r="Q180" s="2">
        <f t="shared" si="114"/>
        <v>0.53448755065627795</v>
      </c>
      <c r="R180" s="2">
        <f t="shared" si="115"/>
        <v>3.2963405228358398</v>
      </c>
      <c r="S180" s="2">
        <f t="shared" si="116"/>
        <v>0.37920756895255803</v>
      </c>
      <c r="T180" s="2">
        <f t="shared" si="117"/>
        <v>-0.43311556908584498</v>
      </c>
      <c r="U180" s="2">
        <f t="shared" si="118"/>
        <v>0.26864207944609497</v>
      </c>
      <c r="V180" s="2">
        <f t="shared" si="119"/>
        <v>0.23359612974781699</v>
      </c>
      <c r="W180" s="2">
        <f t="shared" si="120"/>
        <v>0.134673366588</v>
      </c>
      <c r="X180" s="2">
        <f t="shared" si="121"/>
        <v>0.26829319381276701</v>
      </c>
      <c r="Y180" s="2">
        <f t="shared" si="122"/>
        <v>1.01709761117421</v>
      </c>
      <c r="Z180" s="2">
        <f t="shared" si="123"/>
        <v>0.81558269512458204</v>
      </c>
      <c r="AA180" s="2">
        <f t="shared" si="124"/>
        <v>2.9572387709392798</v>
      </c>
      <c r="AB180" s="2">
        <f t="shared" si="125"/>
        <v>0.12598363275499999</v>
      </c>
      <c r="AC180" s="2">
        <f t="shared" si="126"/>
        <v>1.39649109415467</v>
      </c>
      <c r="AD180" s="2">
        <f t="shared" si="127"/>
        <v>5.4887413140999999E-2</v>
      </c>
      <c r="AE180" s="2">
        <f t="shared" si="128"/>
        <v>0.165446512662517</v>
      </c>
      <c r="AF180" s="2">
        <f t="shared" si="129"/>
        <v>9.5293919497758298E-2</v>
      </c>
      <c r="AG180" s="5">
        <f t="shared" si="130"/>
        <v>9.8985032861960406E-2</v>
      </c>
      <c r="AH180" s="2">
        <f t="shared" si="131"/>
        <v>33.396272912151296</v>
      </c>
      <c r="AI180" s="2">
        <f t="shared" si="132"/>
        <v>0.39649109415466899</v>
      </c>
      <c r="AJ180" s="2">
        <f t="shared" si="133"/>
        <v>0.25612119949280998</v>
      </c>
      <c r="AK180" s="2">
        <f t="shared" si="134"/>
        <v>0.10948763794347</v>
      </c>
      <c r="AL180" s="2">
        <f t="shared" si="135"/>
        <v>0.12947429073998101</v>
      </c>
      <c r="AM180" s="2">
        <f t="shared" si="136"/>
        <v>3.2963405228358398</v>
      </c>
      <c r="AN180" s="2">
        <f t="shared" si="137"/>
        <v>7.9785953446999999E-2</v>
      </c>
      <c r="AO180" s="2">
        <f t="shared" si="138"/>
        <v>0.40484074088716998</v>
      </c>
      <c r="AP180" s="2">
        <f t="shared" si="139"/>
        <v>2.3604450731074702</v>
      </c>
      <c r="AQ180" s="2">
        <f t="shared" si="140"/>
        <v>8.0968468060599999E-2</v>
      </c>
      <c r="AR180" s="2">
        <f t="shared" si="141"/>
        <v>0.41332092099024997</v>
      </c>
      <c r="AS180" s="2">
        <f t="shared" si="142"/>
        <v>0.68793328611984905</v>
      </c>
      <c r="AT180" s="2">
        <f t="shared" si="143"/>
        <v>0.14764087467697101</v>
      </c>
      <c r="AU180" s="2">
        <f t="shared" si="144"/>
        <v>0.35566964025113101</v>
      </c>
      <c r="AV180" s="2">
        <f t="shared" si="145"/>
        <v>0.150222654100412</v>
      </c>
      <c r="AW180" s="2">
        <f t="shared" si="146"/>
        <v>0.49518502215914201</v>
      </c>
      <c r="AX180" s="2">
        <f t="shared" si="147"/>
        <v>-2.60810549196E-2</v>
      </c>
      <c r="AY180" s="5">
        <f t="shared" si="148"/>
        <v>0.99129581580759696</v>
      </c>
      <c r="AZ180" s="2">
        <f t="shared" si="149"/>
        <v>8.6141982141943907E-2</v>
      </c>
      <c r="BA180" s="2">
        <f t="shared" si="150"/>
        <v>0.78319747488528402</v>
      </c>
      <c r="BB180" s="2">
        <f t="shared" si="151"/>
        <v>3.8705477995280603E-2</v>
      </c>
      <c r="BC180" s="2">
        <f t="shared" si="152"/>
        <v>0.468332652860247</v>
      </c>
      <c r="BD180" s="2">
        <f t="shared" si="153"/>
        <v>5.18201451870186E-2</v>
      </c>
      <c r="BE180" s="2">
        <f t="shared" si="154"/>
        <v>-4.7272935251496E-2</v>
      </c>
      <c r="BF180" s="2">
        <f t="shared" si="155"/>
        <v>0.30540792270286099</v>
      </c>
    </row>
    <row r="181" spans="1:58" s="2" customFormat="1" x14ac:dyDescent="0.15">
      <c r="A181" s="3">
        <v>168.5</v>
      </c>
      <c r="B181" s="4">
        <v>3.1941652273100002E-2</v>
      </c>
      <c r="C181" s="4">
        <v>5.5170851541800001E-2</v>
      </c>
      <c r="D181" s="4">
        <v>5.3238740840599999E-2</v>
      </c>
      <c r="E181" s="4">
        <v>0.142779262086</v>
      </c>
      <c r="F181" s="4">
        <v>0.20839548385500001</v>
      </c>
      <c r="G181" s="2">
        <f t="shared" si="104"/>
        <v>3.7772751014566102</v>
      </c>
      <c r="H181" s="2">
        <f t="shared" si="105"/>
        <v>0.15322463231319999</v>
      </c>
      <c r="I181" s="2">
        <f t="shared" si="106"/>
        <v>0.58135130225383203</v>
      </c>
      <c r="J181" s="2">
        <f t="shared" si="107"/>
        <v>-0.37620390886296101</v>
      </c>
      <c r="K181" s="2">
        <f t="shared" si="108"/>
        <v>2.7772751014566102</v>
      </c>
      <c r="L181" s="2">
        <f t="shared" si="109"/>
        <v>1.2706582927557399</v>
      </c>
      <c r="M181" s="2">
        <f t="shared" si="110"/>
        <v>0.30100455954538802</v>
      </c>
      <c r="N181" s="2">
        <f t="shared" si="111"/>
        <v>0.266383157194578</v>
      </c>
      <c r="O181" s="2">
        <f t="shared" si="112"/>
        <v>0.41962865938532001</v>
      </c>
      <c r="P181" s="2">
        <f t="shared" si="113"/>
        <v>0.29845827100726102</v>
      </c>
      <c r="Q181" s="2">
        <f t="shared" si="114"/>
        <v>0.59302923077024094</v>
      </c>
      <c r="R181" s="2">
        <f t="shared" si="115"/>
        <v>3.9143578635518201</v>
      </c>
      <c r="S181" s="2">
        <f t="shared" si="116"/>
        <v>0.42686720231651598</v>
      </c>
      <c r="T181" s="2">
        <f t="shared" si="117"/>
        <v>-0.36080069286081901</v>
      </c>
      <c r="U181" s="2">
        <f t="shared" si="118"/>
        <v>0.30557334081804999</v>
      </c>
      <c r="V181" s="2">
        <f t="shared" si="119"/>
        <v>0.27077615667970301</v>
      </c>
      <c r="W181" s="2">
        <f t="shared" si="120"/>
        <v>0.15515674301439999</v>
      </c>
      <c r="X181" s="2">
        <f t="shared" si="121"/>
        <v>0.30333559626038897</v>
      </c>
      <c r="Y181" s="2">
        <f t="shared" si="122"/>
        <v>1.0454803827763799</v>
      </c>
      <c r="Z181" s="2">
        <f t="shared" si="123"/>
        <v>0.97847361962494195</v>
      </c>
      <c r="AA181" s="2">
        <f t="shared" si="124"/>
        <v>3.0064688186067401</v>
      </c>
      <c r="AB181" s="2">
        <f t="shared" si="125"/>
        <v>0.1308171123478</v>
      </c>
      <c r="AC181" s="2">
        <f t="shared" si="126"/>
        <v>1.4595640908234799</v>
      </c>
      <c r="AD181" s="2">
        <f t="shared" si="127"/>
        <v>6.5616221769000005E-2</v>
      </c>
      <c r="AE181" s="2">
        <f t="shared" si="128"/>
        <v>0.186847780278665</v>
      </c>
      <c r="AF181" s="2">
        <f t="shared" si="129"/>
        <v>0.11072599237672399</v>
      </c>
      <c r="AG181" s="5">
        <f t="shared" si="130"/>
        <v>0.115633520758054</v>
      </c>
      <c r="AH181" s="2">
        <f t="shared" si="131"/>
        <v>37.813782321084403</v>
      </c>
      <c r="AI181" s="2">
        <f t="shared" si="132"/>
        <v>0.45956409082347999</v>
      </c>
      <c r="AJ181" s="2">
        <f t="shared" si="133"/>
        <v>0.29303332620394901</v>
      </c>
      <c r="AK181" s="2">
        <f t="shared" si="134"/>
        <v>0.12922782283429701</v>
      </c>
      <c r="AL181" s="2">
        <f t="shared" si="135"/>
        <v>0.14890175591895399</v>
      </c>
      <c r="AM181" s="2">
        <f t="shared" si="136"/>
        <v>3.9143578635518201</v>
      </c>
      <c r="AN181" s="2">
        <f t="shared" si="137"/>
        <v>8.9540521245400004E-2</v>
      </c>
      <c r="AO181" s="2">
        <f t="shared" si="138"/>
        <v>0.45679743650346699</v>
      </c>
      <c r="AP181" s="2">
        <f t="shared" si="139"/>
        <v>2.6818677495301699</v>
      </c>
      <c r="AQ181" s="2">
        <f t="shared" si="140"/>
        <v>8.7608410544200002E-2</v>
      </c>
      <c r="AR181" s="2">
        <f t="shared" si="141"/>
        <v>0.44257822811320802</v>
      </c>
      <c r="AS181" s="2">
        <f t="shared" si="142"/>
        <v>0.73281036179327497</v>
      </c>
      <c r="AT181" s="2">
        <f t="shared" si="143"/>
        <v>0.135773223294576</v>
      </c>
      <c r="AU181" s="2">
        <f t="shared" si="144"/>
        <v>0.35137396091031498</v>
      </c>
      <c r="AV181" s="2">
        <f t="shared" si="145"/>
        <v>0.13164432587123701</v>
      </c>
      <c r="AW181" s="2">
        <f t="shared" si="146"/>
        <v>0.51530300216605296</v>
      </c>
      <c r="AX181" s="2">
        <f t="shared" si="147"/>
        <v>-2.1992188775200001E-2</v>
      </c>
      <c r="AY181" s="5">
        <f t="shared" si="148"/>
        <v>1.0126096612015401</v>
      </c>
      <c r="AZ181" s="2">
        <f t="shared" si="149"/>
        <v>9.9340871212270795E-2</v>
      </c>
      <c r="BA181" s="2">
        <f t="shared" si="150"/>
        <v>0.73062202248047303</v>
      </c>
      <c r="BB181" s="2">
        <f t="shared" si="151"/>
        <v>5.1042846838746797E-2</v>
      </c>
      <c r="BC181" s="2">
        <f t="shared" si="152"/>
        <v>0.50908825258742996</v>
      </c>
      <c r="BD181" s="2">
        <f t="shared" si="153"/>
        <v>6.0971938975232898E-2</v>
      </c>
      <c r="BE181" s="2">
        <f t="shared" si="154"/>
        <v>-4.2181761101591997E-2</v>
      </c>
      <c r="BF181" s="2">
        <f t="shared" si="155"/>
        <v>0.32140253157476001</v>
      </c>
    </row>
    <row r="182" spans="1:58" s="2" customFormat="1" x14ac:dyDescent="0.15">
      <c r="A182" s="3">
        <v>214</v>
      </c>
      <c r="B182" s="4">
        <v>2.4949694641100001E-2</v>
      </c>
      <c r="C182" s="4">
        <v>5.1041720724300001E-2</v>
      </c>
      <c r="D182" s="4">
        <v>3.3394468945300002E-2</v>
      </c>
      <c r="E182" s="4">
        <v>0.18130257879600001</v>
      </c>
      <c r="F182" s="4">
        <v>0.307583627139</v>
      </c>
      <c r="G182" s="2">
        <f t="shared" si="104"/>
        <v>6.02612182297697</v>
      </c>
      <c r="H182" s="2">
        <f t="shared" si="105"/>
        <v>0.25654190641469998</v>
      </c>
      <c r="I182" s="2">
        <f t="shared" si="106"/>
        <v>0.71534794721896799</v>
      </c>
      <c r="J182" s="2">
        <f t="shared" si="107"/>
        <v>-0.160675421542192</v>
      </c>
      <c r="K182" s="2">
        <f t="shared" si="108"/>
        <v>5.02612182297697</v>
      </c>
      <c r="L182" s="2">
        <f t="shared" si="109"/>
        <v>1.89616083931164</v>
      </c>
      <c r="M182" s="2">
        <f t="shared" si="110"/>
        <v>0.44817318820095597</v>
      </c>
      <c r="N182" s="2">
        <f t="shared" si="111"/>
        <v>0.43461244595527398</v>
      </c>
      <c r="O182" s="2">
        <f t="shared" si="112"/>
        <v>0.57380267406345697</v>
      </c>
      <c r="P182" s="2">
        <f t="shared" si="113"/>
        <v>0.42838852240623398</v>
      </c>
      <c r="Q182" s="2">
        <f t="shared" si="114"/>
        <v>0.80412543017400195</v>
      </c>
      <c r="R182" s="2">
        <f t="shared" si="115"/>
        <v>9.2106159149534808</v>
      </c>
      <c r="S182" s="2">
        <f t="shared" si="116"/>
        <v>0.63487690577827505</v>
      </c>
      <c r="T182" s="2">
        <f t="shared" si="117"/>
        <v>5.0004851769952299E-2</v>
      </c>
      <c r="U182" s="2">
        <f t="shared" si="118"/>
        <v>0.48905404219864801</v>
      </c>
      <c r="V182" s="2">
        <f t="shared" si="119"/>
        <v>0.48538338127381803</v>
      </c>
      <c r="W182" s="2">
        <f t="shared" si="120"/>
        <v>0.27418915819369999</v>
      </c>
      <c r="X182" s="2">
        <f t="shared" si="121"/>
        <v>0.46955561415188801</v>
      </c>
      <c r="Y182" s="2">
        <f t="shared" si="122"/>
        <v>1.14198311291105</v>
      </c>
      <c r="Z182" s="2">
        <f t="shared" si="123"/>
        <v>2.0348996548409102</v>
      </c>
      <c r="AA182" s="2">
        <f t="shared" si="124"/>
        <v>3.28340775310232</v>
      </c>
      <c r="AB182" s="2">
        <f t="shared" si="125"/>
        <v>0.17048904804215001</v>
      </c>
      <c r="AC182" s="2">
        <f t="shared" si="126"/>
        <v>1.6965209716354399</v>
      </c>
      <c r="AD182" s="2">
        <f t="shared" si="127"/>
        <v>0.126281048343</v>
      </c>
      <c r="AE182" s="2">
        <f t="shared" si="128"/>
        <v>0.25830356187179798</v>
      </c>
      <c r="AF182" s="2">
        <f t="shared" si="129"/>
        <v>0.18060687856197999</v>
      </c>
      <c r="AG182" s="5">
        <f t="shared" si="130"/>
        <v>0.191550424485293</v>
      </c>
      <c r="AH182" s="2">
        <f t="shared" si="131"/>
        <v>52.857966687245302</v>
      </c>
      <c r="AI182" s="2">
        <f t="shared" si="132"/>
        <v>0.69652097163543503</v>
      </c>
      <c r="AJ182" s="2">
        <f t="shared" si="133"/>
        <v>0.42416252532707199</v>
      </c>
      <c r="AK182" s="2">
        <f t="shared" si="134"/>
        <v>0.225239603024705</v>
      </c>
      <c r="AL182" s="2">
        <f t="shared" si="135"/>
        <v>0.22574993078609801</v>
      </c>
      <c r="AM182" s="2">
        <f t="shared" si="136"/>
        <v>9.2106159149534808</v>
      </c>
      <c r="AN182" s="2">
        <f t="shared" si="137"/>
        <v>0.14790810985069999</v>
      </c>
      <c r="AO182" s="2">
        <f t="shared" si="138"/>
        <v>0.68891543412801104</v>
      </c>
      <c r="AP182" s="2">
        <f t="shared" si="139"/>
        <v>5.4291199866951896</v>
      </c>
      <c r="AQ182" s="2">
        <f t="shared" si="140"/>
        <v>0.13026085807169999</v>
      </c>
      <c r="AR182" s="2">
        <f t="shared" si="141"/>
        <v>0.56063720237870096</v>
      </c>
      <c r="AS182" s="2">
        <f t="shared" si="142"/>
        <v>0.853780421306644</v>
      </c>
      <c r="AT182" s="2">
        <f t="shared" si="143"/>
        <v>9.4534322460612094E-2</v>
      </c>
      <c r="AU182" s="2">
        <f t="shared" si="144"/>
        <v>0.33579033393915098</v>
      </c>
      <c r="AV182" s="2">
        <f t="shared" si="145"/>
        <v>6.3939698616943097E-2</v>
      </c>
      <c r="AW182" s="2">
        <f t="shared" si="146"/>
        <v>0.58892400567854497</v>
      </c>
      <c r="AX182" s="2">
        <f t="shared" si="147"/>
        <v>-3.97980972870001E-3</v>
      </c>
      <c r="AY182" s="5">
        <f t="shared" si="148"/>
        <v>1.0687889632755501</v>
      </c>
      <c r="AZ182" s="2">
        <f t="shared" si="149"/>
        <v>0.15686414908487301</v>
      </c>
      <c r="BA182" s="2">
        <f t="shared" si="150"/>
        <v>0.59039001464951901</v>
      </c>
      <c r="BB182" s="2">
        <f t="shared" si="151"/>
        <v>0.12719270196683299</v>
      </c>
      <c r="BC182" s="2">
        <f t="shared" si="152"/>
        <v>0.77534483809092103</v>
      </c>
      <c r="BD182" s="2">
        <f t="shared" si="153"/>
        <v>9.9742550786593207E-2</v>
      </c>
      <c r="BE182" s="2">
        <f t="shared" si="154"/>
        <v>-2.13622289779321E-2</v>
      </c>
      <c r="BF182" s="2">
        <f t="shared" si="155"/>
        <v>0.36108800322415902</v>
      </c>
    </row>
    <row r="183" spans="1:58" s="2" customFormat="1" x14ac:dyDescent="0.15">
      <c r="A183" s="3">
        <v>209.5</v>
      </c>
      <c r="B183" s="4">
        <v>2.5796740291E-2</v>
      </c>
      <c r="C183" s="4">
        <v>4.9374114173E-2</v>
      </c>
      <c r="D183" s="4">
        <v>3.6102903123500001E-2</v>
      </c>
      <c r="E183" s="4">
        <v>0.16039888414799999</v>
      </c>
      <c r="F183" s="4">
        <v>0.26590368271999998</v>
      </c>
      <c r="G183" s="2">
        <f t="shared" si="104"/>
        <v>5.3854876623874297</v>
      </c>
      <c r="H183" s="2">
        <f t="shared" si="105"/>
        <v>0.21652956854700001</v>
      </c>
      <c r="I183" s="2">
        <f t="shared" si="106"/>
        <v>0.68678977930211305</v>
      </c>
      <c r="J183" s="2">
        <f t="shared" si="107"/>
        <v>-0.21487602118763699</v>
      </c>
      <c r="K183" s="2">
        <f t="shared" si="108"/>
        <v>4.3854876623874297</v>
      </c>
      <c r="L183" s="2">
        <f t="shared" si="109"/>
        <v>1.7354849765363001</v>
      </c>
      <c r="M183" s="2">
        <f t="shared" si="110"/>
        <v>0.39838488679353401</v>
      </c>
      <c r="N183" s="2">
        <f t="shared" si="111"/>
        <v>0.37404999304736403</v>
      </c>
      <c r="O183" s="2">
        <f t="shared" si="112"/>
        <v>0.52847892570724697</v>
      </c>
      <c r="P183" s="2">
        <f t="shared" si="113"/>
        <v>0.38562973769508002</v>
      </c>
      <c r="Q183" s="2">
        <f t="shared" si="114"/>
        <v>0.76091314020411105</v>
      </c>
      <c r="R183" s="2">
        <f t="shared" si="115"/>
        <v>7.3651606855659999</v>
      </c>
      <c r="S183" s="2">
        <f t="shared" si="116"/>
        <v>0.57698074551308998</v>
      </c>
      <c r="T183" s="2">
        <f t="shared" si="117"/>
        <v>-6.1672963444885903E-2</v>
      </c>
      <c r="U183" s="2">
        <f t="shared" si="118"/>
        <v>0.429798427443354</v>
      </c>
      <c r="V183" s="2">
        <f t="shared" si="119"/>
        <v>0.40952341950238202</v>
      </c>
      <c r="W183" s="2">
        <f t="shared" si="120"/>
        <v>0.2298007795965</v>
      </c>
      <c r="X183" s="2">
        <f t="shared" si="121"/>
        <v>0.418160773894594</v>
      </c>
      <c r="Y183" s="2">
        <f t="shared" si="122"/>
        <v>1.1229038873403701</v>
      </c>
      <c r="Z183" s="2">
        <f t="shared" si="123"/>
        <v>1.7138829535494</v>
      </c>
      <c r="AA183" s="2">
        <f t="shared" si="124"/>
        <v>3.1938132941111999</v>
      </c>
      <c r="AB183" s="2">
        <f t="shared" si="125"/>
        <v>0.15100329292174999</v>
      </c>
      <c r="AC183" s="2">
        <f t="shared" si="126"/>
        <v>1.6577651654649299</v>
      </c>
      <c r="AD183" s="2">
        <f t="shared" si="127"/>
        <v>0.105504798572</v>
      </c>
      <c r="AE183" s="2">
        <f t="shared" si="128"/>
        <v>0.24748806779919899</v>
      </c>
      <c r="AF183" s="2">
        <f t="shared" si="129"/>
        <v>0.16158953784861199</v>
      </c>
      <c r="AG183" s="5">
        <f t="shared" si="130"/>
        <v>0.170848277354015</v>
      </c>
      <c r="AH183" s="2">
        <f t="shared" si="131"/>
        <v>50.547040944694302</v>
      </c>
      <c r="AI183" s="2">
        <f t="shared" si="132"/>
        <v>0.65776516546493402</v>
      </c>
      <c r="AJ183" s="2">
        <f t="shared" si="133"/>
        <v>0.40347122557443499</v>
      </c>
      <c r="AK183" s="2">
        <f t="shared" si="134"/>
        <v>0.197326556479028</v>
      </c>
      <c r="AL183" s="2">
        <f t="shared" si="135"/>
        <v>0.20874131081720801</v>
      </c>
      <c r="AM183" s="2">
        <f t="shared" si="136"/>
        <v>7.3651606855659999</v>
      </c>
      <c r="AN183" s="2">
        <f t="shared" si="137"/>
        <v>0.1242959810245</v>
      </c>
      <c r="AO183" s="2">
        <f t="shared" si="138"/>
        <v>0.632543768432825</v>
      </c>
      <c r="AP183" s="2">
        <f t="shared" si="139"/>
        <v>4.4428250991149101</v>
      </c>
      <c r="AQ183" s="2">
        <f t="shared" si="140"/>
        <v>0.11102476997500001</v>
      </c>
      <c r="AR183" s="2">
        <f t="shared" si="141"/>
        <v>0.529261491534325</v>
      </c>
      <c r="AS183" s="2">
        <f t="shared" si="142"/>
        <v>0.84881906641216298</v>
      </c>
      <c r="AT183" s="2">
        <f t="shared" si="143"/>
        <v>0.10379763427744</v>
      </c>
      <c r="AU183" s="2">
        <f t="shared" si="144"/>
        <v>0.337201486936407</v>
      </c>
      <c r="AV183" s="2">
        <f t="shared" si="145"/>
        <v>7.8076289028682203E-2</v>
      </c>
      <c r="AW183" s="2">
        <f t="shared" si="146"/>
        <v>0.57504441442893806</v>
      </c>
      <c r="AX183" s="2">
        <f t="shared" si="147"/>
        <v>-5.5199714030000104E-3</v>
      </c>
      <c r="AY183" s="5">
        <f t="shared" si="148"/>
        <v>1.0612905255321701</v>
      </c>
      <c r="AZ183" s="2">
        <f t="shared" si="149"/>
        <v>0.14196084792071101</v>
      </c>
      <c r="BA183" s="2">
        <f t="shared" si="150"/>
        <v>0.62356990244622101</v>
      </c>
      <c r="BB183" s="2">
        <f t="shared" si="151"/>
        <v>0.10311114465598201</v>
      </c>
      <c r="BC183" s="2">
        <f t="shared" si="152"/>
        <v>0.66517409158521401</v>
      </c>
      <c r="BD183" s="2">
        <f t="shared" si="153"/>
        <v>8.7940959268942395E-2</v>
      </c>
      <c r="BE183" s="2">
        <f t="shared" si="154"/>
        <v>-2.1271731217320001E-2</v>
      </c>
      <c r="BF183" s="2">
        <f t="shared" si="155"/>
        <v>0.36035490809237902</v>
      </c>
    </row>
    <row r="184" spans="1:58" s="2" customFormat="1" x14ac:dyDescent="0.15">
      <c r="A184" s="3">
        <v>204.5</v>
      </c>
      <c r="B184" s="4">
        <v>2.5766158422100002E-2</v>
      </c>
      <c r="C184" s="4">
        <v>4.93569165166E-2</v>
      </c>
      <c r="D184" s="4">
        <v>3.5807535491300002E-2</v>
      </c>
      <c r="E184" s="4">
        <v>0.15922299098500001</v>
      </c>
      <c r="F184" s="4">
        <v>0.261363266298</v>
      </c>
      <c r="G184" s="2">
        <f t="shared" si="104"/>
        <v>5.2953726598803401</v>
      </c>
      <c r="H184" s="2">
        <f t="shared" si="105"/>
        <v>0.21200634978140001</v>
      </c>
      <c r="I184" s="2">
        <f t="shared" si="106"/>
        <v>0.682306337042482</v>
      </c>
      <c r="J184" s="2">
        <f t="shared" si="107"/>
        <v>-0.222908959586165</v>
      </c>
      <c r="K184" s="2">
        <f t="shared" si="108"/>
        <v>4.2953726598803401</v>
      </c>
      <c r="L184" s="2">
        <f t="shared" si="109"/>
        <v>1.71194625669014</v>
      </c>
      <c r="M184" s="2">
        <f t="shared" si="110"/>
        <v>0.392255591279419</v>
      </c>
      <c r="N184" s="2">
        <f t="shared" si="111"/>
        <v>0.36682388460694598</v>
      </c>
      <c r="O184" s="2">
        <f t="shared" si="112"/>
        <v>0.522449163483789</v>
      </c>
      <c r="P184" s="2">
        <f t="shared" si="113"/>
        <v>0.38033311182316798</v>
      </c>
      <c r="Q184" s="2">
        <f t="shared" si="114"/>
        <v>0.75901040562734501</v>
      </c>
      <c r="R184" s="2">
        <f t="shared" si="115"/>
        <v>7.2991135165251002</v>
      </c>
      <c r="S184" s="2">
        <f t="shared" si="116"/>
        <v>0.57231268206922403</v>
      </c>
      <c r="T184" s="2">
        <f t="shared" si="117"/>
        <v>-6.61585372233396E-2</v>
      </c>
      <c r="U184" s="2">
        <f t="shared" si="118"/>
        <v>0.42441794838777203</v>
      </c>
      <c r="V184" s="2">
        <f t="shared" si="119"/>
        <v>0.402807048035704</v>
      </c>
      <c r="W184" s="2">
        <f t="shared" si="120"/>
        <v>0.22555573080669999</v>
      </c>
      <c r="X184" s="2">
        <f t="shared" si="121"/>
        <v>0.41376218620261301</v>
      </c>
      <c r="Y184" s="2">
        <f t="shared" si="122"/>
        <v>1.12205632907949</v>
      </c>
      <c r="Z184" s="2">
        <f t="shared" si="123"/>
        <v>1.7016871611134201</v>
      </c>
      <c r="AA184" s="2">
        <f t="shared" si="124"/>
        <v>3.1886096539031201</v>
      </c>
      <c r="AB184" s="2">
        <f t="shared" si="125"/>
        <v>0.14858540089465</v>
      </c>
      <c r="AC184" s="2">
        <f t="shared" si="126"/>
        <v>1.64149200238691</v>
      </c>
      <c r="AD184" s="2">
        <f t="shared" si="127"/>
        <v>0.102140275313</v>
      </c>
      <c r="AE184" s="2">
        <f t="shared" si="128"/>
        <v>0.242852146365479</v>
      </c>
      <c r="AF184" s="2">
        <f t="shared" si="129"/>
        <v>0.15749598436189699</v>
      </c>
      <c r="AG184" s="5">
        <f t="shared" si="130"/>
        <v>0.16642700426756499</v>
      </c>
      <c r="AH184" s="2">
        <f t="shared" si="131"/>
        <v>49.560558581051403</v>
      </c>
      <c r="AI184" s="2">
        <f t="shared" si="132"/>
        <v>0.64149200238690596</v>
      </c>
      <c r="AJ184" s="2">
        <f t="shared" si="133"/>
        <v>0.394699518185605</v>
      </c>
      <c r="AK184" s="2">
        <f t="shared" si="134"/>
        <v>0.19219270528425</v>
      </c>
      <c r="AL184" s="2">
        <f t="shared" si="135"/>
        <v>0.20407427471251199</v>
      </c>
      <c r="AM184" s="2">
        <f t="shared" si="136"/>
        <v>7.2991135165251002</v>
      </c>
      <c r="AN184" s="2">
        <f t="shared" si="137"/>
        <v>0.1234154554937</v>
      </c>
      <c r="AO184" s="2">
        <f t="shared" si="138"/>
        <v>0.63280070932227805</v>
      </c>
      <c r="AP184" s="2">
        <f t="shared" si="139"/>
        <v>4.4466336149743002</v>
      </c>
      <c r="AQ184" s="2">
        <f t="shared" si="140"/>
        <v>0.10986607446839999</v>
      </c>
      <c r="AR184" s="2">
        <f t="shared" si="141"/>
        <v>0.52673373856759098</v>
      </c>
      <c r="AS184" s="2">
        <f t="shared" si="142"/>
        <v>0.82761332366685603</v>
      </c>
      <c r="AT184" s="2">
        <f t="shared" si="143"/>
        <v>0.105027414522351</v>
      </c>
      <c r="AU184" s="2">
        <f t="shared" si="144"/>
        <v>0.33881328607806999</v>
      </c>
      <c r="AV184" s="2">
        <f t="shared" si="145"/>
        <v>7.8457542714670203E-2</v>
      </c>
      <c r="AW184" s="2">
        <f t="shared" si="146"/>
        <v>0.57267051050199502</v>
      </c>
      <c r="AX184" s="2">
        <f t="shared" si="147"/>
        <v>-7.7257991554000203E-3</v>
      </c>
      <c r="AY184" s="5">
        <f t="shared" si="148"/>
        <v>1.0639102604203601</v>
      </c>
      <c r="AZ184" s="2">
        <f t="shared" si="149"/>
        <v>0.13828720422551</v>
      </c>
      <c r="BA184" s="2">
        <f t="shared" si="150"/>
        <v>0.62401775739048804</v>
      </c>
      <c r="BB184" s="2">
        <f t="shared" si="151"/>
        <v>9.8061099523604395E-2</v>
      </c>
      <c r="BC184" s="2">
        <f t="shared" si="152"/>
        <v>0.65267057948311302</v>
      </c>
      <c r="BD184" s="2">
        <f t="shared" si="153"/>
        <v>8.4272069011960798E-2</v>
      </c>
      <c r="BE184" s="2">
        <f t="shared" si="154"/>
        <v>-2.4309079719984101E-2</v>
      </c>
      <c r="BF184" s="2">
        <f t="shared" si="155"/>
        <v>0.35592831721033602</v>
      </c>
    </row>
    <row r="185" spans="1:58" s="2" customFormat="1" x14ac:dyDescent="0.15">
      <c r="A185" s="3">
        <v>179</v>
      </c>
      <c r="B185" s="4">
        <v>2.72450252043E-2</v>
      </c>
      <c r="C185" s="4">
        <v>5.0250034000100002E-2</v>
      </c>
      <c r="D185" s="4">
        <v>4.0091617306700002E-2</v>
      </c>
      <c r="E185" s="4">
        <v>0.15475851208300001</v>
      </c>
      <c r="F185" s="4">
        <v>0.241832743736</v>
      </c>
      <c r="G185" s="2">
        <f t="shared" si="104"/>
        <v>4.8125886588558098</v>
      </c>
      <c r="H185" s="2">
        <f t="shared" si="105"/>
        <v>0.1915827097359</v>
      </c>
      <c r="I185" s="2">
        <f t="shared" si="106"/>
        <v>0.65591922680561798</v>
      </c>
      <c r="J185" s="2">
        <f t="shared" si="107"/>
        <v>-0.26782029260248402</v>
      </c>
      <c r="K185" s="2">
        <f t="shared" si="108"/>
        <v>3.8125886588558102</v>
      </c>
      <c r="L185" s="2">
        <f t="shared" si="109"/>
        <v>1.58137604801786</v>
      </c>
      <c r="M185" s="2">
        <f t="shared" si="110"/>
        <v>0.36280812142540397</v>
      </c>
      <c r="N185" s="2">
        <f t="shared" si="111"/>
        <v>0.33299243235870701</v>
      </c>
      <c r="O185" s="2">
        <f t="shared" si="112"/>
        <v>0.49158241419090898</v>
      </c>
      <c r="P185" s="2">
        <f t="shared" si="113"/>
        <v>0.35448946788204699</v>
      </c>
      <c r="Q185" s="2">
        <f t="shared" si="114"/>
        <v>0.71558600215731105</v>
      </c>
      <c r="R185" s="2">
        <f t="shared" si="115"/>
        <v>6.0320026973714898</v>
      </c>
      <c r="S185" s="2">
        <f t="shared" si="116"/>
        <v>0.52954697067577206</v>
      </c>
      <c r="T185" s="2">
        <f t="shared" si="117"/>
        <v>-0.16020026479317401</v>
      </c>
      <c r="U185" s="2">
        <f t="shared" si="118"/>
        <v>0.38700890357273898</v>
      </c>
      <c r="V185" s="2">
        <f t="shared" si="119"/>
        <v>0.35864406068249199</v>
      </c>
      <c r="W185" s="2">
        <f t="shared" si="120"/>
        <v>0.20174112642930001</v>
      </c>
      <c r="X185" s="2">
        <f t="shared" si="121"/>
        <v>0.37995147865517698</v>
      </c>
      <c r="Y185" s="2">
        <f t="shared" si="122"/>
        <v>1.1025361681855701</v>
      </c>
      <c r="Z185" s="2">
        <f t="shared" si="123"/>
        <v>1.4560135784175701</v>
      </c>
      <c r="AA185" s="2">
        <f t="shared" si="124"/>
        <v>3.1316602976228798</v>
      </c>
      <c r="AB185" s="2">
        <f t="shared" si="125"/>
        <v>0.14096218052135001</v>
      </c>
      <c r="AC185" s="2">
        <f t="shared" si="126"/>
        <v>1.5626458311146101</v>
      </c>
      <c r="AD185" s="2">
        <f t="shared" si="127"/>
        <v>8.7074231653000003E-2</v>
      </c>
      <c r="AE185" s="2">
        <f t="shared" si="128"/>
        <v>0.219556609923694</v>
      </c>
      <c r="AF185" s="2">
        <f t="shared" si="129"/>
        <v>0.13826685471740199</v>
      </c>
      <c r="AG185" s="5">
        <f t="shared" si="130"/>
        <v>0.145675464300833</v>
      </c>
      <c r="AH185" s="2">
        <f t="shared" si="131"/>
        <v>44.638043018661797</v>
      </c>
      <c r="AI185" s="2">
        <f t="shared" si="132"/>
        <v>0.56264583111460997</v>
      </c>
      <c r="AJ185" s="2">
        <f t="shared" si="133"/>
        <v>0.35147206328131297</v>
      </c>
      <c r="AK185" s="2">
        <f t="shared" si="134"/>
        <v>0.167038340262643</v>
      </c>
      <c r="AL185" s="2">
        <f t="shared" si="135"/>
        <v>0.181472683340765</v>
      </c>
      <c r="AM185" s="2">
        <f t="shared" si="136"/>
        <v>6.0320026973714898</v>
      </c>
      <c r="AN185" s="2">
        <f t="shared" si="137"/>
        <v>0.1146668947763</v>
      </c>
      <c r="AO185" s="2">
        <f t="shared" si="138"/>
        <v>0.58848765015170401</v>
      </c>
      <c r="AP185" s="2">
        <f t="shared" si="139"/>
        <v>3.8601214537967099</v>
      </c>
      <c r="AQ185" s="2">
        <f t="shared" si="140"/>
        <v>0.10450847808289999</v>
      </c>
      <c r="AR185" s="2">
        <f t="shared" si="141"/>
        <v>0.50977620240542398</v>
      </c>
      <c r="AS185" s="2">
        <f t="shared" si="142"/>
        <v>0.75936678866965301</v>
      </c>
      <c r="AT185" s="2">
        <f t="shared" si="143"/>
        <v>0.11245611170007</v>
      </c>
      <c r="AU185" s="2">
        <f t="shared" si="144"/>
        <v>0.34633888051315198</v>
      </c>
      <c r="AV185" s="2">
        <f t="shared" si="145"/>
        <v>9.1809456642371098E-2</v>
      </c>
      <c r="AW185" s="2">
        <f t="shared" si="146"/>
        <v>0.55379489011099403</v>
      </c>
      <c r="AX185" s="2">
        <f t="shared" si="147"/>
        <v>-1.7434246429900001E-2</v>
      </c>
      <c r="AY185" s="5">
        <f t="shared" si="148"/>
        <v>1.0530236612030599</v>
      </c>
      <c r="AZ185" s="2">
        <f t="shared" si="149"/>
        <v>0.12137415111239599</v>
      </c>
      <c r="BA185" s="2">
        <f t="shared" si="150"/>
        <v>0.63350179731789402</v>
      </c>
      <c r="BB185" s="2">
        <f t="shared" si="151"/>
        <v>7.6191000553579302E-2</v>
      </c>
      <c r="BC185" s="2">
        <f t="shared" si="152"/>
        <v>0.59871514325140496</v>
      </c>
      <c r="BD185" s="2">
        <f t="shared" si="153"/>
        <v>7.2072736851533301E-2</v>
      </c>
      <c r="BE185" s="2">
        <f t="shared" si="154"/>
        <v>-3.7646332229004001E-2</v>
      </c>
      <c r="BF185" s="2">
        <f t="shared" si="155"/>
        <v>0.33473116955719201</v>
      </c>
    </row>
    <row r="186" spans="1:58" s="2" customFormat="1" x14ac:dyDescent="0.15">
      <c r="A186" s="3">
        <v>175</v>
      </c>
      <c r="B186" s="4">
        <v>2.8114338045199999E-2</v>
      </c>
      <c r="C186" s="4">
        <v>5.2408720819500001E-2</v>
      </c>
      <c r="D186" s="4">
        <v>4.2634428766099998E-2</v>
      </c>
      <c r="E186" s="4">
        <v>0.151616105744</v>
      </c>
      <c r="F186" s="4">
        <v>0.22689231238999999</v>
      </c>
      <c r="G186" s="2">
        <f t="shared" si="104"/>
        <v>4.3292854479588598</v>
      </c>
      <c r="H186" s="2">
        <f t="shared" si="105"/>
        <v>0.1744835915705</v>
      </c>
      <c r="I186" s="2">
        <f t="shared" si="106"/>
        <v>0.62471516687738904</v>
      </c>
      <c r="J186" s="2">
        <f t="shared" si="107"/>
        <v>-0.31621009480993501</v>
      </c>
      <c r="K186" s="2">
        <f t="shared" si="108"/>
        <v>3.3292854479588598</v>
      </c>
      <c r="L186" s="2">
        <f t="shared" si="109"/>
        <v>1.4421702791987101</v>
      </c>
      <c r="M186" s="2">
        <f t="shared" si="110"/>
        <v>0.33584632408076098</v>
      </c>
      <c r="N186" s="2">
        <f t="shared" si="111"/>
        <v>0.30332974243051802</v>
      </c>
      <c r="O186" s="2">
        <f t="shared" si="112"/>
        <v>0.46073410012959398</v>
      </c>
      <c r="P186" s="2">
        <f t="shared" si="113"/>
        <v>0.33015533620605197</v>
      </c>
      <c r="Q186" s="2">
        <f t="shared" si="114"/>
        <v>0.683634888447616</v>
      </c>
      <c r="R186" s="2">
        <f t="shared" si="115"/>
        <v>5.3218096021591199</v>
      </c>
      <c r="S186" s="2">
        <f t="shared" si="116"/>
        <v>0.49761545562548898</v>
      </c>
      <c r="T186" s="2">
        <f t="shared" si="117"/>
        <v>-0.220541355399998</v>
      </c>
      <c r="U186" s="2">
        <f t="shared" si="118"/>
        <v>0.35916467960635101</v>
      </c>
      <c r="V186" s="2">
        <f t="shared" si="119"/>
        <v>0.32707151932905698</v>
      </c>
      <c r="W186" s="2">
        <f t="shared" si="120"/>
        <v>0.1842578836239</v>
      </c>
      <c r="X186" s="2">
        <f t="shared" si="121"/>
        <v>0.354915648734765</v>
      </c>
      <c r="Y186" s="2">
        <f t="shared" si="122"/>
        <v>1.08794985566781</v>
      </c>
      <c r="Z186" s="2">
        <f t="shared" si="123"/>
        <v>1.30690476659942</v>
      </c>
      <c r="AA186" s="2">
        <f t="shared" si="124"/>
        <v>3.0948835222097899</v>
      </c>
      <c r="AB186" s="2">
        <f t="shared" si="125"/>
        <v>0.13476337057804999</v>
      </c>
      <c r="AC186" s="2">
        <f t="shared" si="126"/>
        <v>1.49649215218007</v>
      </c>
      <c r="AD186" s="2">
        <f t="shared" si="127"/>
        <v>7.5276206646000002E-2</v>
      </c>
      <c r="AE186" s="2">
        <f t="shared" si="128"/>
        <v>0.19887591144498801</v>
      </c>
      <c r="AF186" s="2">
        <f t="shared" si="129"/>
        <v>0.122354502192786</v>
      </c>
      <c r="AG186" s="5">
        <f t="shared" si="130"/>
        <v>0.12852957084786501</v>
      </c>
      <c r="AH186" s="2">
        <f t="shared" si="131"/>
        <v>40.312380418064301</v>
      </c>
      <c r="AI186" s="2">
        <f t="shared" si="132"/>
        <v>0.49649215218007198</v>
      </c>
      <c r="AJ186" s="2">
        <f t="shared" si="133"/>
        <v>0.31422973966525802</v>
      </c>
      <c r="AK186" s="2">
        <f t="shared" si="134"/>
        <v>0.146732145785295</v>
      </c>
      <c r="AL186" s="2">
        <f t="shared" si="135"/>
        <v>0.16215233925578401</v>
      </c>
      <c r="AM186" s="2">
        <f t="shared" si="136"/>
        <v>5.3218096021591199</v>
      </c>
      <c r="AN186" s="2">
        <f t="shared" si="137"/>
        <v>0.1089816769779</v>
      </c>
      <c r="AO186" s="2">
        <f t="shared" si="138"/>
        <v>0.56103669033782499</v>
      </c>
      <c r="AP186" s="2">
        <f t="shared" si="139"/>
        <v>3.55618944904346</v>
      </c>
      <c r="AQ186" s="2">
        <f t="shared" si="140"/>
        <v>9.92073849245E-2</v>
      </c>
      <c r="AR186" s="2">
        <f t="shared" si="141"/>
        <v>0.48625153416622602</v>
      </c>
      <c r="AS186" s="2">
        <f t="shared" si="142"/>
        <v>0.690723511818092</v>
      </c>
      <c r="AT186" s="2">
        <f t="shared" si="143"/>
        <v>0.121621342206942</v>
      </c>
      <c r="AU186" s="2">
        <f t="shared" si="144"/>
        <v>0.35184515081531897</v>
      </c>
      <c r="AV186" s="2">
        <f t="shared" si="145"/>
        <v>0.101235077551284</v>
      </c>
      <c r="AW186" s="2">
        <f t="shared" si="146"/>
        <v>0.53875380778774495</v>
      </c>
      <c r="AX186" s="2">
        <f t="shared" si="147"/>
        <v>-2.3931178278500002E-2</v>
      </c>
      <c r="AY186" s="5">
        <f t="shared" si="148"/>
        <v>1.05601840244933</v>
      </c>
      <c r="AZ186" s="2">
        <f t="shared" si="149"/>
        <v>0.107936894582225</v>
      </c>
      <c r="BA186" s="2">
        <f t="shared" si="150"/>
        <v>0.65801821671782501</v>
      </c>
      <c r="BB186" s="2">
        <f t="shared" si="151"/>
        <v>6.04275873977351E-2</v>
      </c>
      <c r="BC186" s="2">
        <f t="shared" si="152"/>
        <v>0.55743091514353904</v>
      </c>
      <c r="BD186" s="2">
        <f t="shared" si="153"/>
        <v>6.0384333845714698E-2</v>
      </c>
      <c r="BE186" s="2">
        <f t="shared" si="154"/>
        <v>-4.636578291198E-2</v>
      </c>
      <c r="BF186" s="2">
        <f t="shared" si="155"/>
        <v>0.318346539334175</v>
      </c>
    </row>
    <row r="187" spans="1:58" s="2" customFormat="1" x14ac:dyDescent="0.15">
      <c r="A187" s="3">
        <v>173.5</v>
      </c>
      <c r="B187" s="4">
        <v>2.8340659708499999E-2</v>
      </c>
      <c r="C187" s="4">
        <v>5.4102046572600003E-2</v>
      </c>
      <c r="D187" s="4">
        <v>4.4293737546800001E-2</v>
      </c>
      <c r="E187" s="4">
        <v>0.15739935213199999</v>
      </c>
      <c r="F187" s="4">
        <v>0.23722172907399999</v>
      </c>
      <c r="G187" s="2">
        <f t="shared" si="104"/>
        <v>4.3847089731748001</v>
      </c>
      <c r="H187" s="2">
        <f t="shared" si="105"/>
        <v>0.18311968250140001</v>
      </c>
      <c r="I187" s="2">
        <f t="shared" si="106"/>
        <v>0.62857788415985405</v>
      </c>
      <c r="J187" s="2">
        <f t="shared" si="107"/>
        <v>-0.31047422747901499</v>
      </c>
      <c r="K187" s="2">
        <f t="shared" si="108"/>
        <v>3.3847089731748001</v>
      </c>
      <c r="L187" s="2">
        <f t="shared" si="109"/>
        <v>1.4586134528568899</v>
      </c>
      <c r="M187" s="2">
        <f t="shared" si="110"/>
        <v>0.34711395285407198</v>
      </c>
      <c r="N187" s="2">
        <f t="shared" si="111"/>
        <v>0.31620330570507199</v>
      </c>
      <c r="O187" s="2">
        <f t="shared" si="112"/>
        <v>0.47065730449785598</v>
      </c>
      <c r="P187" s="2">
        <f t="shared" si="113"/>
        <v>0.33927125220795601</v>
      </c>
      <c r="Q187" s="2">
        <f t="shared" si="114"/>
        <v>0.68531933198211503</v>
      </c>
      <c r="R187" s="2">
        <f t="shared" si="115"/>
        <v>5.3556494035608404</v>
      </c>
      <c r="S187" s="2">
        <f t="shared" si="116"/>
        <v>0.50688251508924298</v>
      </c>
      <c r="T187" s="2">
        <f t="shared" si="117"/>
        <v>-0.21752412045543101</v>
      </c>
      <c r="U187" s="2">
        <f t="shared" si="118"/>
        <v>0.370295918188419</v>
      </c>
      <c r="V187" s="2">
        <f t="shared" si="119"/>
        <v>0.34018282069793399</v>
      </c>
      <c r="W187" s="2">
        <f t="shared" si="120"/>
        <v>0.1929279915272</v>
      </c>
      <c r="X187" s="2">
        <f t="shared" si="121"/>
        <v>0.36361694442650999</v>
      </c>
      <c r="Y187" s="2">
        <f t="shared" si="122"/>
        <v>1.0887237170109401</v>
      </c>
      <c r="Z187" s="2">
        <f t="shared" si="123"/>
        <v>1.3142276040962</v>
      </c>
      <c r="AA187" s="2">
        <f t="shared" si="124"/>
        <v>3.0985573948021798</v>
      </c>
      <c r="AB187" s="2">
        <f t="shared" si="125"/>
        <v>0.14075773331040001</v>
      </c>
      <c r="AC187" s="2">
        <f t="shared" si="126"/>
        <v>1.50713281764374</v>
      </c>
      <c r="AD187" s="2">
        <f t="shared" si="127"/>
        <v>7.9822376942000006E-2</v>
      </c>
      <c r="AE187" s="2">
        <f t="shared" si="128"/>
        <v>0.20227600790625599</v>
      </c>
      <c r="AF187" s="2">
        <f t="shared" si="129"/>
        <v>0.127067508629925</v>
      </c>
      <c r="AG187" s="5">
        <f t="shared" si="130"/>
        <v>0.133837183058097</v>
      </c>
      <c r="AH187" s="2">
        <f t="shared" si="131"/>
        <v>41.020904956553899</v>
      </c>
      <c r="AI187" s="2">
        <f t="shared" si="132"/>
        <v>0.50713281764373797</v>
      </c>
      <c r="AJ187" s="2">
        <f t="shared" si="133"/>
        <v>0.320282378271466</v>
      </c>
      <c r="AK187" s="2">
        <f t="shared" si="134"/>
        <v>0.15320690444005799</v>
      </c>
      <c r="AL187" s="2">
        <f t="shared" si="135"/>
        <v>0.166949941843859</v>
      </c>
      <c r="AM187" s="2">
        <f t="shared" si="136"/>
        <v>5.3556494035608404</v>
      </c>
      <c r="AN187" s="2">
        <f t="shared" si="137"/>
        <v>0.11310561458520001</v>
      </c>
      <c r="AO187" s="2">
        <f t="shared" si="138"/>
        <v>0.56078081190249396</v>
      </c>
      <c r="AP187" s="2">
        <f t="shared" si="139"/>
        <v>3.5535351236886399</v>
      </c>
      <c r="AQ187" s="2">
        <f t="shared" si="140"/>
        <v>0.1032973055594</v>
      </c>
      <c r="AR187" s="2">
        <f t="shared" si="141"/>
        <v>0.48840010606111101</v>
      </c>
      <c r="AS187" s="2">
        <f t="shared" si="142"/>
        <v>0.70573310825230096</v>
      </c>
      <c r="AT187" s="2">
        <f t="shared" si="143"/>
        <v>0.120568883624144</v>
      </c>
      <c r="AU187" s="2">
        <f t="shared" si="144"/>
        <v>0.35077165046340297</v>
      </c>
      <c r="AV187" s="2">
        <f t="shared" si="145"/>
        <v>0.100916477763642</v>
      </c>
      <c r="AW187" s="2">
        <f t="shared" si="146"/>
        <v>0.54047327394431199</v>
      </c>
      <c r="AX187" s="2">
        <f t="shared" si="147"/>
        <v>-2.3474928617400002E-2</v>
      </c>
      <c r="AY187" s="5">
        <f t="shared" si="148"/>
        <v>1.0535622871982899</v>
      </c>
      <c r="AZ187" s="2">
        <f t="shared" si="149"/>
        <v>0.11237191331473501</v>
      </c>
      <c r="BA187" s="2">
        <f t="shared" si="150"/>
        <v>0.656478064936868</v>
      </c>
      <c r="BB187" s="2">
        <f t="shared" si="151"/>
        <v>6.5105787260744702E-2</v>
      </c>
      <c r="BC187" s="2">
        <f t="shared" si="152"/>
        <v>0.58406093760953204</v>
      </c>
      <c r="BD187" s="2">
        <f t="shared" si="153"/>
        <v>6.5006266342358301E-2</v>
      </c>
      <c r="BE187" s="2">
        <f t="shared" si="154"/>
        <v>-4.6199573876184001E-2</v>
      </c>
      <c r="BF187" s="2">
        <f t="shared" si="155"/>
        <v>0.32179943488882701</v>
      </c>
    </row>
    <row r="188" spans="1:58" s="2" customFormat="1" x14ac:dyDescent="0.15">
      <c r="A188" s="3">
        <v>162.5</v>
      </c>
      <c r="B188" s="4">
        <v>3.2010147864100003E-2</v>
      </c>
      <c r="C188" s="4">
        <v>5.5804608093600001E-2</v>
      </c>
      <c r="D188" s="4">
        <v>5.49037028309E-2</v>
      </c>
      <c r="E188" s="4">
        <v>0.14046492987799999</v>
      </c>
      <c r="F188" s="4">
        <v>0.19965541672699999</v>
      </c>
      <c r="G188" s="2">
        <f t="shared" si="104"/>
        <v>3.5777586035927702</v>
      </c>
      <c r="H188" s="2">
        <f t="shared" si="105"/>
        <v>0.1438508086334</v>
      </c>
      <c r="I188" s="2">
        <f t="shared" si="106"/>
        <v>0.56310496616611905</v>
      </c>
      <c r="J188" s="2">
        <f t="shared" si="107"/>
        <v>-0.39925598382777999</v>
      </c>
      <c r="K188" s="2">
        <f t="shared" si="108"/>
        <v>2.5777586035927702</v>
      </c>
      <c r="L188" s="2">
        <f t="shared" si="109"/>
        <v>1.2048023370082399</v>
      </c>
      <c r="M188" s="2">
        <f t="shared" si="110"/>
        <v>0.28562227763320802</v>
      </c>
      <c r="N188" s="2">
        <f t="shared" si="111"/>
        <v>0.25041596511056902</v>
      </c>
      <c r="O188" s="2">
        <f t="shared" si="112"/>
        <v>0.40164378771892401</v>
      </c>
      <c r="P188" s="2">
        <f t="shared" si="113"/>
        <v>0.28461044381483902</v>
      </c>
      <c r="Q188" s="2">
        <f t="shared" si="114"/>
        <v>0.56863692075732497</v>
      </c>
      <c r="R188" s="2">
        <f t="shared" si="115"/>
        <v>3.6364654191344101</v>
      </c>
      <c r="S188" s="2">
        <f t="shared" si="116"/>
        <v>0.405037496940227</v>
      </c>
      <c r="T188" s="2">
        <f t="shared" si="117"/>
        <v>-0.39239322325537002</v>
      </c>
      <c r="U188" s="2">
        <f t="shared" si="118"/>
        <v>0.28775421993622702</v>
      </c>
      <c r="V188" s="2">
        <f t="shared" si="119"/>
        <v>0.25242586228852998</v>
      </c>
      <c r="W188" s="2">
        <f t="shared" si="120"/>
        <v>0.1447517138961</v>
      </c>
      <c r="X188" s="2">
        <f t="shared" si="121"/>
        <v>0.286899231201869</v>
      </c>
      <c r="Y188" s="2">
        <f t="shared" si="122"/>
        <v>1.0337489640900901</v>
      </c>
      <c r="Z188" s="2">
        <f t="shared" si="123"/>
        <v>0.90695186597208399</v>
      </c>
      <c r="AA188" s="2">
        <f t="shared" si="124"/>
        <v>2.9863126481689002</v>
      </c>
      <c r="AB188" s="2">
        <f t="shared" si="125"/>
        <v>0.12727955977895</v>
      </c>
      <c r="AC188" s="2">
        <f t="shared" si="126"/>
        <v>1.4213897867632099</v>
      </c>
      <c r="AD188" s="2">
        <f t="shared" si="127"/>
        <v>5.9190486849000003E-2</v>
      </c>
      <c r="AE188" s="2">
        <f t="shared" si="128"/>
        <v>0.17402806812301999</v>
      </c>
      <c r="AF188" s="2">
        <f t="shared" si="129"/>
        <v>0.101492886832489</v>
      </c>
      <c r="AG188" s="5">
        <f t="shared" si="130"/>
        <v>0.10568215688655901</v>
      </c>
      <c r="AH188" s="2">
        <f t="shared" si="131"/>
        <v>35.163511604870401</v>
      </c>
      <c r="AI188" s="2">
        <f t="shared" si="132"/>
        <v>0.42138978676321198</v>
      </c>
      <c r="AJ188" s="2">
        <f t="shared" si="133"/>
        <v>0.27080186579337501</v>
      </c>
      <c r="AK188" s="2">
        <f t="shared" si="134"/>
        <v>0.11766570434602899</v>
      </c>
      <c r="AL188" s="2">
        <f t="shared" si="135"/>
        <v>0.137288884987255</v>
      </c>
      <c r="AM188" s="2">
        <f t="shared" si="136"/>
        <v>3.6364654191344101</v>
      </c>
      <c r="AN188" s="2">
        <f t="shared" si="137"/>
        <v>8.5561227047099994E-2</v>
      </c>
      <c r="AO188" s="2">
        <f t="shared" si="138"/>
        <v>0.43794761656845199</v>
      </c>
      <c r="AP188" s="2">
        <f t="shared" si="139"/>
        <v>2.55838718766607</v>
      </c>
      <c r="AQ188" s="2">
        <f t="shared" si="140"/>
        <v>8.46603217844E-2</v>
      </c>
      <c r="AR188" s="2">
        <f t="shared" si="141"/>
        <v>0.43134723125832303</v>
      </c>
      <c r="AS188" s="2">
        <f t="shared" si="142"/>
        <v>0.69179100033729801</v>
      </c>
      <c r="AT188" s="2">
        <f t="shared" si="143"/>
        <v>0.14094743822369499</v>
      </c>
      <c r="AU188" s="2">
        <f t="shared" si="144"/>
        <v>0.354776652017122</v>
      </c>
      <c r="AV188" s="2">
        <f t="shared" si="145"/>
        <v>0.13898825377670901</v>
      </c>
      <c r="AW188" s="2">
        <f t="shared" si="146"/>
        <v>0.50542597852487903</v>
      </c>
      <c r="AX188" s="2">
        <f t="shared" si="147"/>
        <v>-2.5469834935400001E-2</v>
      </c>
      <c r="AY188" s="5">
        <f t="shared" si="148"/>
        <v>1.00626277510192</v>
      </c>
      <c r="AZ188" s="2">
        <f t="shared" si="149"/>
        <v>9.1123385813947799E-2</v>
      </c>
      <c r="BA188" s="2">
        <f t="shared" si="150"/>
        <v>0.74744588031190096</v>
      </c>
      <c r="BB188" s="2">
        <f t="shared" si="151"/>
        <v>4.3239139438882003E-2</v>
      </c>
      <c r="BC188" s="2">
        <f t="shared" si="152"/>
        <v>0.48533707938727</v>
      </c>
      <c r="BD188" s="2">
        <f t="shared" si="153"/>
        <v>5.4122295897967701E-2</v>
      </c>
      <c r="BE188" s="2">
        <f t="shared" si="154"/>
        <v>-4.6835800921104002E-2</v>
      </c>
      <c r="BF188" s="2">
        <f t="shared" si="155"/>
        <v>0.30905084944976402</v>
      </c>
    </row>
    <row r="189" spans="1:58" s="2" customFormat="1" x14ac:dyDescent="0.15">
      <c r="A189" s="3">
        <v>163.5</v>
      </c>
      <c r="B189" s="4">
        <v>3.1264850901500003E-2</v>
      </c>
      <c r="C189" s="4">
        <v>5.4174737092599998E-2</v>
      </c>
      <c r="D189" s="4">
        <v>5.4009203451700002E-2</v>
      </c>
      <c r="E189" s="4">
        <v>0.13703643706900001</v>
      </c>
      <c r="F189" s="4">
        <v>0.193892618973</v>
      </c>
      <c r="G189" s="2">
        <f t="shared" si="104"/>
        <v>3.5790227951006499</v>
      </c>
      <c r="H189" s="2">
        <f t="shared" si="105"/>
        <v>0.13971788188039999</v>
      </c>
      <c r="I189" s="2">
        <f t="shared" si="106"/>
        <v>0.56322558556818902</v>
      </c>
      <c r="J189" s="2">
        <f t="shared" si="107"/>
        <v>-0.39910748864235801</v>
      </c>
      <c r="K189" s="2">
        <f t="shared" si="108"/>
        <v>2.5790227951006499</v>
      </c>
      <c r="L189" s="2">
        <f t="shared" si="109"/>
        <v>1.2052267935804699</v>
      </c>
      <c r="M189" s="2">
        <f t="shared" si="110"/>
        <v>0.28015769050911699</v>
      </c>
      <c r="N189" s="2">
        <f t="shared" si="111"/>
        <v>0.24439155901383899</v>
      </c>
      <c r="O189" s="2">
        <f t="shared" si="112"/>
        <v>0.39717154673653798</v>
      </c>
      <c r="P189" s="2">
        <f t="shared" si="113"/>
        <v>0.28052216639052902</v>
      </c>
      <c r="Q189" s="2">
        <f t="shared" si="114"/>
        <v>0.56426941179018397</v>
      </c>
      <c r="R189" s="2">
        <f t="shared" si="115"/>
        <v>3.5899921972816502</v>
      </c>
      <c r="S189" s="2">
        <f t="shared" si="116"/>
        <v>0.39780347398340599</v>
      </c>
      <c r="T189" s="2">
        <f t="shared" si="117"/>
        <v>-0.397820316477347</v>
      </c>
      <c r="U189" s="2">
        <f t="shared" si="118"/>
        <v>0.28055169407355701</v>
      </c>
      <c r="V189" s="2">
        <f t="shared" si="119"/>
        <v>0.24475997083593901</v>
      </c>
      <c r="W189" s="2">
        <f t="shared" si="120"/>
        <v>0.13988341552129999</v>
      </c>
      <c r="X189" s="2">
        <f t="shared" si="121"/>
        <v>0.28094827387867299</v>
      </c>
      <c r="Y189" s="2">
        <f t="shared" si="122"/>
        <v>1.03163434015652</v>
      </c>
      <c r="Z189" s="2">
        <f t="shared" si="123"/>
        <v>0.89472747308990297</v>
      </c>
      <c r="AA189" s="2">
        <f t="shared" si="124"/>
        <v>2.9850879584143999</v>
      </c>
      <c r="AB189" s="2">
        <f t="shared" si="125"/>
        <v>0.12395091121235</v>
      </c>
      <c r="AC189" s="2">
        <f t="shared" si="126"/>
        <v>1.4148982790275799</v>
      </c>
      <c r="AD189" s="2">
        <f t="shared" si="127"/>
        <v>5.6856181903999999E-2</v>
      </c>
      <c r="AE189" s="2">
        <f t="shared" si="128"/>
        <v>0.17180776624457</v>
      </c>
      <c r="AF189" s="2">
        <f t="shared" si="129"/>
        <v>9.8834880533752598E-2</v>
      </c>
      <c r="AG189" s="5">
        <f t="shared" si="130"/>
        <v>0.10263724951711101</v>
      </c>
      <c r="AH189" s="2">
        <f t="shared" si="131"/>
        <v>34.705764089814799</v>
      </c>
      <c r="AI189" s="2">
        <f t="shared" si="132"/>
        <v>0.41489827902758503</v>
      </c>
      <c r="AJ189" s="2">
        <f t="shared" si="133"/>
        <v>0.26698828914101402</v>
      </c>
      <c r="AK189" s="2">
        <f t="shared" si="134"/>
        <v>0.11403137457201</v>
      </c>
      <c r="AL189" s="2">
        <f t="shared" si="135"/>
        <v>0.13434358833916199</v>
      </c>
      <c r="AM189" s="2">
        <f t="shared" si="136"/>
        <v>3.5899921972816502</v>
      </c>
      <c r="AN189" s="2">
        <f t="shared" si="137"/>
        <v>8.3027233617299995E-2</v>
      </c>
      <c r="AO189" s="2">
        <f t="shared" si="138"/>
        <v>0.434593709602622</v>
      </c>
      <c r="AP189" s="2">
        <f t="shared" si="139"/>
        <v>2.5372793581662498</v>
      </c>
      <c r="AQ189" s="2">
        <f t="shared" si="140"/>
        <v>8.28616999764E-2</v>
      </c>
      <c r="AR189" s="2">
        <f t="shared" si="141"/>
        <v>0.43335176586683399</v>
      </c>
      <c r="AS189" s="2">
        <f t="shared" si="142"/>
        <v>0.684789549487689</v>
      </c>
      <c r="AT189" s="2">
        <f t="shared" si="143"/>
        <v>0.14067567772220099</v>
      </c>
      <c r="AU189" s="2">
        <f t="shared" si="144"/>
        <v>0.35584286499381101</v>
      </c>
      <c r="AV189" s="2">
        <f t="shared" si="145"/>
        <v>0.140306145517302</v>
      </c>
      <c r="AW189" s="2">
        <f t="shared" si="146"/>
        <v>0.50369796763777697</v>
      </c>
      <c r="AX189" s="2">
        <f t="shared" si="147"/>
        <v>-2.6005518072400001E-2</v>
      </c>
      <c r="AY189" s="5">
        <f t="shared" si="148"/>
        <v>1.00118477061542</v>
      </c>
      <c r="AZ189" s="2">
        <f t="shared" si="149"/>
        <v>8.8296926194119996E-2</v>
      </c>
      <c r="BA189" s="2">
        <f t="shared" si="150"/>
        <v>0.74223185573008899</v>
      </c>
      <c r="BB189" s="2">
        <f t="shared" si="151"/>
        <v>4.0908395803657398E-2</v>
      </c>
      <c r="BC189" s="2">
        <f t="shared" si="152"/>
        <v>0.47070114851185102</v>
      </c>
      <c r="BD189" s="2">
        <f t="shared" si="153"/>
        <v>5.1816063380647197E-2</v>
      </c>
      <c r="BE189" s="2">
        <f t="shared" si="154"/>
        <v>-4.7391350021424E-2</v>
      </c>
      <c r="BF189" s="2">
        <f t="shared" si="155"/>
        <v>0.305042545379482</v>
      </c>
    </row>
    <row r="190" spans="1:58" s="2" customFormat="1" x14ac:dyDescent="0.15">
      <c r="A190" s="3">
        <v>136</v>
      </c>
      <c r="B190" s="4">
        <v>2.9969274248599999E-2</v>
      </c>
      <c r="C190" s="4">
        <v>5.5604064299799999E-2</v>
      </c>
      <c r="D190" s="4">
        <v>4.84730661691E-2</v>
      </c>
      <c r="E190" s="4">
        <v>0.15829202862399999</v>
      </c>
      <c r="F190" s="4">
        <v>0.23598600230299999</v>
      </c>
      <c r="G190" s="2">
        <f t="shared" si="104"/>
        <v>4.2440423245077197</v>
      </c>
      <c r="H190" s="2">
        <f t="shared" si="105"/>
        <v>0.18038193800319999</v>
      </c>
      <c r="I190" s="2">
        <f t="shared" si="106"/>
        <v>0.61861482493131004</v>
      </c>
      <c r="J190" s="2">
        <f t="shared" si="107"/>
        <v>-0.32513070453423598</v>
      </c>
      <c r="K190" s="2">
        <f t="shared" si="108"/>
        <v>3.2440423245077201</v>
      </c>
      <c r="L190" s="2">
        <f t="shared" si="109"/>
        <v>1.4166201589152601</v>
      </c>
      <c r="M190" s="2">
        <f t="shared" si="110"/>
        <v>0.34180937636824399</v>
      </c>
      <c r="N190" s="2">
        <f t="shared" si="111"/>
        <v>0.31064905401429099</v>
      </c>
      <c r="O190" s="2">
        <f t="shared" si="112"/>
        <v>0.46334732218048003</v>
      </c>
      <c r="P190" s="2">
        <f t="shared" si="113"/>
        <v>0.33404631564892301</v>
      </c>
      <c r="Q190" s="2">
        <f t="shared" si="114"/>
        <v>0.65919127536020705</v>
      </c>
      <c r="R190" s="2">
        <f t="shared" si="115"/>
        <v>4.8683943672916099</v>
      </c>
      <c r="S190" s="2">
        <f t="shared" si="116"/>
        <v>0.48939266030293199</v>
      </c>
      <c r="T190" s="2">
        <f t="shared" si="117"/>
        <v>-0.26246102363387602</v>
      </c>
      <c r="U190" s="2">
        <f t="shared" si="118"/>
        <v>0.35855204625103199</v>
      </c>
      <c r="V190" s="2">
        <f t="shared" si="119"/>
        <v>0.32775870860725598</v>
      </c>
      <c r="W190" s="2">
        <f t="shared" si="120"/>
        <v>0.18751293613389999</v>
      </c>
      <c r="X190" s="2">
        <f t="shared" si="121"/>
        <v>0.351577717605429</v>
      </c>
      <c r="Y190" s="2">
        <f t="shared" si="122"/>
        <v>1.07665745497823</v>
      </c>
      <c r="Z190" s="2">
        <f t="shared" si="123"/>
        <v>1.20644382826566</v>
      </c>
      <c r="AA190" s="2">
        <f t="shared" si="124"/>
        <v>3.0708772933801698</v>
      </c>
      <c r="AB190" s="2">
        <f t="shared" si="125"/>
        <v>0.14222953423605</v>
      </c>
      <c r="AC190" s="2">
        <f t="shared" si="126"/>
        <v>1.49082682403137</v>
      </c>
      <c r="AD190" s="2">
        <f t="shared" si="127"/>
        <v>7.7693973678999995E-2</v>
      </c>
      <c r="AE190" s="2">
        <f t="shared" si="128"/>
        <v>0.19705377318723799</v>
      </c>
      <c r="AF190" s="2">
        <f t="shared" si="129"/>
        <v>0.123733142962413</v>
      </c>
      <c r="AG190" s="5">
        <f t="shared" si="130"/>
        <v>0.13031848763822901</v>
      </c>
      <c r="AH190" s="2">
        <f t="shared" si="131"/>
        <v>39.9330881506013</v>
      </c>
      <c r="AI190" s="2">
        <f t="shared" si="132"/>
        <v>0.49082682403136602</v>
      </c>
      <c r="AJ190" s="2">
        <f t="shared" si="133"/>
        <v>0.31099723094730197</v>
      </c>
      <c r="AK190" s="2">
        <f t="shared" si="134"/>
        <v>0.14856219425889</v>
      </c>
      <c r="AL190" s="2">
        <f t="shared" si="135"/>
        <v>0.16259892046760499</v>
      </c>
      <c r="AM190" s="2">
        <f t="shared" si="136"/>
        <v>4.8683943672916099</v>
      </c>
      <c r="AN190" s="2">
        <f t="shared" si="137"/>
        <v>0.1098189624549</v>
      </c>
      <c r="AO190" s="2">
        <f t="shared" si="138"/>
        <v>0.53112911811730401</v>
      </c>
      <c r="AP190" s="2">
        <f t="shared" si="139"/>
        <v>3.2655666565798098</v>
      </c>
      <c r="AQ190" s="2">
        <f t="shared" si="140"/>
        <v>0.10268796432420001</v>
      </c>
      <c r="AR190" s="2">
        <f t="shared" si="141"/>
        <v>0.48008340367760899</v>
      </c>
      <c r="AS190" s="2">
        <f t="shared" si="142"/>
        <v>0.70747320810745296</v>
      </c>
      <c r="AT190" s="2">
        <f t="shared" si="143"/>
        <v>0.12359697105031101</v>
      </c>
      <c r="AU190" s="2">
        <f t="shared" si="144"/>
        <v>0.351852252631214</v>
      </c>
      <c r="AV190" s="2">
        <f t="shared" si="145"/>
        <v>0.109481526950522</v>
      </c>
      <c r="AW190" s="2">
        <f t="shared" si="146"/>
        <v>0.53299924912840801</v>
      </c>
      <c r="AX190" s="2">
        <f t="shared" si="147"/>
        <v>-2.4993990645200002E-2</v>
      </c>
      <c r="AY190" s="5">
        <f t="shared" si="148"/>
        <v>1.0395327725693599</v>
      </c>
      <c r="AZ190" s="2">
        <f t="shared" si="149"/>
        <v>0.109817430600979</v>
      </c>
      <c r="BA190" s="2">
        <f t="shared" si="150"/>
        <v>0.66733376005519296</v>
      </c>
      <c r="BB190" s="2">
        <f t="shared" si="151"/>
        <v>6.2044613677053398E-2</v>
      </c>
      <c r="BC190" s="2">
        <f t="shared" si="152"/>
        <v>0.58002579182658298</v>
      </c>
      <c r="BD190" s="2">
        <f t="shared" si="153"/>
        <v>6.5352332012220904E-2</v>
      </c>
      <c r="BE190" s="2">
        <f t="shared" si="154"/>
        <v>-4.8313902247992001E-2</v>
      </c>
      <c r="BF190" s="2">
        <f t="shared" si="155"/>
        <v>0.31854033438193002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Jointing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Ziwen Xie</cp:lastModifiedBy>
  <dcterms:created xsi:type="dcterms:W3CDTF">2023-05-12T11:15:00Z</dcterms:created>
  <dcterms:modified xsi:type="dcterms:W3CDTF">2025-11-17T02:03:56Z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AA06E57CE7714FC2B2D675E316DBF10A_12</vt:lpwstr>
  </property>
</Properties>
</file>