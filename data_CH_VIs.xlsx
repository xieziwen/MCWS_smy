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9830"/>
  </bookViews>
  <sheets>
    <sheet name="拔节期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<sst xmlns="http://schemas.openxmlformats.org/spreadsheetml/2006/main" count="58" uniqueCount="58">
  <si>
    <t>CH</t>
  </si>
  <si>
    <t>blue</t>
  </si>
  <si>
    <t>green</t>
  </si>
  <si>
    <t>red</t>
  </si>
  <si>
    <t>rededge</t>
  </si>
  <si>
    <t>nir</t>
  </si>
  <si>
    <t>GRVI</t>
  </si>
  <si>
    <t>GDVI</t>
  </si>
  <si>
    <t>GNDVI</t>
  </si>
  <si>
    <t>GWDRVI</t>
  </si>
  <si>
    <t>CIg</t>
  </si>
  <si>
    <t>MSR_G</t>
  </si>
  <si>
    <t>GSAVI</t>
  </si>
  <si>
    <t>MGSAVI</t>
  </si>
  <si>
    <t>GOSAVI</t>
  </si>
  <si>
    <t>GRDVI</t>
  </si>
  <si>
    <t>NDVI</t>
  </si>
  <si>
    <t>RVI</t>
  </si>
  <si>
    <t>OSAVI</t>
  </si>
  <si>
    <t>WDRVI</t>
  </si>
  <si>
    <t>SAVI</t>
  </si>
  <si>
    <t>MSAVI</t>
  </si>
  <si>
    <t>DVI</t>
  </si>
  <si>
    <t>RDVI</t>
  </si>
  <si>
    <t>TNDVI</t>
  </si>
  <si>
    <t>MSR</t>
  </si>
  <si>
    <t>VIopt</t>
  </si>
  <si>
    <t>MERIS</t>
  </si>
  <si>
    <t>RERVI</t>
  </si>
  <si>
    <t>REDVI</t>
  </si>
  <si>
    <t>NDRE</t>
  </si>
  <si>
    <t>RERDVI</t>
  </si>
  <si>
    <t>REWDRVI</t>
  </si>
  <si>
    <t>VIopt1</t>
  </si>
  <si>
    <t>CIre</t>
  </si>
  <si>
    <t>MSR_RE</t>
  </si>
  <si>
    <t>RESAVI</t>
  </si>
  <si>
    <t>REOSAVI</t>
  </si>
  <si>
    <t>SR</t>
  </si>
  <si>
    <t>RDVI1</t>
  </si>
  <si>
    <t>RENDVI</t>
  </si>
  <si>
    <t>REGRVI</t>
  </si>
  <si>
    <t>REGDVI</t>
  </si>
  <si>
    <t>REGNDVI</t>
  </si>
  <si>
    <t>MTCI</t>
  </si>
  <si>
    <t>NGI</t>
  </si>
  <si>
    <t>NREI</t>
  </si>
  <si>
    <t>NRI</t>
  </si>
  <si>
    <t>NNIR</t>
  </si>
  <si>
    <t>MDD</t>
  </si>
  <si>
    <t>MNDI</t>
  </si>
  <si>
    <t>MEVI</t>
  </si>
  <si>
    <t>MNDRE</t>
  </si>
  <si>
    <t>MCARI1</t>
  </si>
  <si>
    <t>MCARI2</t>
  </si>
  <si>
    <t>MTCARI</t>
  </si>
  <si>
    <t>MRETVI</t>
  </si>
  <si>
    <t>MCCCI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</si>
</sst>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color indexed="8"/>
      <name val="宋体"/>
      <charset val="134"/>
    </font>
    <font>
      <sz val="7.5"/>
      <color rgb="FF000000"/>
      <name val="宋体"/>
      <charset val="134"/>
    </font>
    <font>
      <sz val="9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2" borderId="0" xfId="0" applyFont="1" applyFill="1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vertical="center"/>
    </xf>
    <xf numFmtId="0" fontId="2" fillId="2" borderId="0" xfId="0" applyNumberFormat="1" applyFont="1" applyFill="1" applyBorder="1" applyAlignment="1" applyProtection="1">
      <alignment vertical="center" wrapText="1"/>
    </xf>
    <xf numFmtId="0" fontId="0" fillId="2" borderId="0" xfId="0" applyFill="1" applyBorder="1" applyAlignment="1">
      <alignment vertical="center"/>
    </xf>
    <xf numFmtId="0" fontId="3" fillId="2" borderId="0" xfId="0" applyFont="1" applyFill="1">
      <alignment vertical="center"/>
    </xf>
    <xf numFmtId="0" fontId="2" fillId="0" borderId="0" xfId="0" applyNumberFormat="1" applyFont="1" applyFill="1" applyBorder="1" applyAlignment="1" applyProtection="1">
      <alignment vertical="center" wrapText="1"/>
    </xf>
    <xf numFmtId="0" fontId="0" fillId="0" borderId="0" xfId="0" applyFill="1" applyBorder="1" applyAlignment="1">
      <alignment vertical="center"/>
    </xf>
    <xf numFmtId="0" fontId="0" fillId="2" borderId="0" xfId="0" applyFill="1">
      <alignment vertical="center"/>
    </xf>
    <xf numFmtId="0" fontId="3" fillId="0" borderId="0" xfId="0" applyFont="1" applyFill="1">
      <alignment vertical="center"/>
    </xf>
    <xf numFmtId="0" fontId="4" fillId="2" borderId="0" xfId="0" applyNumberFormat="1" applyFont="1" applyFill="1" applyBorder="1" applyAlignment="1" applyProtection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90"/>
  <sheetViews>
    <sheetView tabSelected="1" workbookViewId="0">
      <selection activeCell="E8" sqref="E8"/>
    </sheetView>
  </sheetViews>
  <sheetFormatPr defaultColWidth="16.6272727272727" defaultRowHeight="14"/>
  <cols>
    <col min="1" max="1" width="9.62727272727273" style="3"/>
    <col min="2" max="3" width="16.6272727272727" style="1"/>
    <col min="4" max="5" width="16.6272727272727" style="2"/>
    <col min="6" max="16" width="16.6272727272727" style="1"/>
    <col min="17" max="17" width="16.6272727272727" style="2"/>
    <col min="18" max="18" width="16.6272727272727" style="1"/>
    <col min="19" max="19" width="16.6272727272727" style="2"/>
    <col min="20" max="21" width="16.6272727272727" style="1"/>
    <col min="22" max="23" width="16.6272727272727" style="2"/>
    <col min="24" max="24" width="16.6272727272727" style="1"/>
    <col min="25" max="25" width="16.6272727272727" style="2"/>
    <col min="26" max="28" width="16.6272727272727" style="1"/>
    <col min="29" max="30" width="16.6272727272727" style="2"/>
    <col min="31" max="31" width="16.6272727272727" style="1"/>
    <col min="32" max="33" width="16.6272727272727" style="2"/>
    <col min="34" max="36" width="16.6272727272727" style="1"/>
    <col min="37" max="38" width="16.6272727272727" style="2"/>
    <col min="39" max="46" width="16.6272727272727" style="1"/>
    <col min="47" max="50" width="16.6272727272727" style="2"/>
    <col min="51" max="51" width="16.6272727272727" style="1"/>
    <col min="52" max="52" width="16.6272727272727" style="2"/>
    <col min="53" max="53" width="16.6272727272727" style="1"/>
    <col min="54" max="54" width="16.6272727272727" style="2"/>
    <col min="55" max="56" width="16.6272727272727" style="1"/>
    <col min="57" max="57" width="16.6272727272727" style="2"/>
    <col min="58" max="16384" width="16.6272727272727" style="1"/>
  </cols>
  <sheetData>
    <row r="1" s="1" customFormat="1" spans="1:58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2" t="s">
        <v>25</v>
      </c>
      <c r="AA1" s="2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2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</row>
    <row r="2" s="2" customFormat="1" spans="1:58">
      <c r="A2" s="5">
        <v>195.5</v>
      </c>
      <c r="B2" s="6">
        <v>0.0487333274552</v>
      </c>
      <c r="C2" s="6">
        <v>0.0829140621922</v>
      </c>
      <c r="D2" s="6">
        <v>0.0788427557834</v>
      </c>
      <c r="E2" s="6">
        <v>0.203618718567</v>
      </c>
      <c r="F2" s="6">
        <v>0.316198337545</v>
      </c>
      <c r="G2" s="2">
        <f>F2/C2</f>
        <v>3.81356707396669</v>
      </c>
      <c r="H2" s="2">
        <f>F2-C2</f>
        <v>0.2332842753528</v>
      </c>
      <c r="I2" s="2">
        <f>(F2-C2)/(F2+C2)</f>
        <v>0.584507711377568</v>
      </c>
      <c r="J2" s="2">
        <f>(0.12*F2-C2)/(0.12*F2+C2)</f>
        <v>-0.37209214761079</v>
      </c>
      <c r="K2" s="2">
        <f>F2/C2-1</f>
        <v>2.81356707396669</v>
      </c>
      <c r="L2" s="2">
        <f>(F2/C2-1)/POWER(F2/C2+1,0.5)</f>
        <v>1.28240073737173</v>
      </c>
      <c r="M2" s="2">
        <f>1.5*(F2-C2)/(F2+C2+0.5)</f>
        <v>0.38919095446963</v>
      </c>
      <c r="N2" s="2">
        <f>0.5*(2*F2+1-POWER(POWER(2*F2+1,2)-8*(F2-C2),0.5))</f>
        <v>0.369419672537793</v>
      </c>
      <c r="O2" s="2">
        <f>1.16*(F2-C2)/(F2+C2+0.16)</f>
        <v>0.48399885163778</v>
      </c>
      <c r="P2" s="2">
        <f>(F2-C2)/POWER(F2+C2,0.5)</f>
        <v>0.369264753106548</v>
      </c>
      <c r="Q2" s="2">
        <f>(F2-D2)/(F2+D2)</f>
        <v>0.600837699596697</v>
      </c>
      <c r="R2" s="2">
        <f>F2/D2</f>
        <v>4.0104932203749</v>
      </c>
      <c r="S2" s="2">
        <f>1.16*(F2-D2)/(F2+D2+0.16)</f>
        <v>0.496057820137924</v>
      </c>
      <c r="T2" s="2">
        <f>(0.12*F2-D2)/(0.12*F2+D2)</f>
        <v>-0.350202596751474</v>
      </c>
      <c r="U2" s="2">
        <f>1.5*(F2-D2)/(F2+D2+0.5)</f>
        <v>0.397784386992126</v>
      </c>
      <c r="V2" s="2">
        <f>(2*F2+1-POWER(POWER(2*F2+1,2)-8*(F2-D2),0.5))/2</f>
        <v>0.378627128839466</v>
      </c>
      <c r="W2" s="2">
        <f>F2-D2</f>
        <v>0.2373555817616</v>
      </c>
      <c r="X2" s="2">
        <f>(F2-D2)/POWER(F2+D2,0.5)</f>
        <v>0.37764028086537</v>
      </c>
      <c r="Y2" s="2">
        <f>POWER((F2-D2)/(F2+D2)+0.5,0.5)</f>
        <v>1.04920812978012</v>
      </c>
      <c r="Z2" s="2">
        <f>(F2/D2-1)/(POWER(F2/D2,0.5)+1)</f>
        <v>1.00262158691424</v>
      </c>
      <c r="AA2" s="2">
        <f>((1+0.45)*(POWER(F2,2)+1)/(D2+0.45))</f>
        <v>3.0159683499934</v>
      </c>
      <c r="AB2" s="2">
        <f>(D2+F2)/2</f>
        <v>0.1975205466642</v>
      </c>
      <c r="AC2" s="2">
        <f>F2/E2</f>
        <v>1.55289425142392</v>
      </c>
      <c r="AD2" s="2">
        <f>F2-E2</f>
        <v>0.112579618978</v>
      </c>
      <c r="AE2" s="2">
        <f>(F2-E2)/(F2+E2)</f>
        <v>0.216575461798128</v>
      </c>
      <c r="AF2" s="2">
        <f>(F2-E2)/POWER(F2+E2,0.5)</f>
        <v>0.156147311757896</v>
      </c>
      <c r="AG2" s="7">
        <f>1.5*(F2-E2)/(F2+E2+0.5)</f>
        <v>0.165587962522225</v>
      </c>
      <c r="AH2" s="2">
        <f>100*(LN(F2)-LN(E2))</f>
        <v>44.0120448753405</v>
      </c>
      <c r="AI2" s="2">
        <f>F2/E2-1</f>
        <v>0.552894251423923</v>
      </c>
      <c r="AJ2" s="2">
        <f>(F2/E2-1)/POWER(F2/E2+1,0.5)</f>
        <v>0.346039488827022</v>
      </c>
      <c r="AK2" s="2">
        <f>1.5*(F2-E2)/(F2+D2+0.5)</f>
        <v>0.188672262900269</v>
      </c>
      <c r="AL2" s="2">
        <f>1.16*(F2-E2)/(F2+E2+0.16)</f>
        <v>0.192099266766506</v>
      </c>
      <c r="AM2" s="2">
        <f>F2/D2</f>
        <v>4.0104932203749</v>
      </c>
      <c r="AN2" s="2">
        <f>E2-D2</f>
        <v>0.1247759627836</v>
      </c>
      <c r="AO2" s="2">
        <f>(E2-D2)/(E2+D2)</f>
        <v>0.441745066546004</v>
      </c>
      <c r="AP2" s="2">
        <f>E2/D2</f>
        <v>2.58259261163308</v>
      </c>
      <c r="AQ2" s="2">
        <f>E2-C2</f>
        <v>0.1207046563748</v>
      </c>
      <c r="AR2" s="2">
        <f>(E2-C2)/(E2+C2)</f>
        <v>0.421259501460809</v>
      </c>
      <c r="AS2" s="2">
        <f>(F2-E2)/(E2-D2)</f>
        <v>0.902254059728217</v>
      </c>
      <c r="AT2" s="2">
        <f>C2/(F2+E2+C2)</f>
        <v>0.137563931368735</v>
      </c>
      <c r="AU2" s="2">
        <f>E2/(F2+E2+C2)</f>
        <v>0.337826789398043</v>
      </c>
      <c r="AV2" s="2">
        <f>D2/(F2+E2+D2)</f>
        <v>0.13169876149491</v>
      </c>
      <c r="AW2" s="2">
        <f>F2/(F2+E2+D2)</f>
        <v>0.528176990107108</v>
      </c>
      <c r="AX2" s="2">
        <f>F2-2*E2+C2</f>
        <v>-0.00812503739680002</v>
      </c>
      <c r="AY2" s="7">
        <f>(F2-D2)/(F2-C2)</f>
        <v>1.01745212532068</v>
      </c>
      <c r="AZ2" s="2">
        <f>2.5*(F2-E2)/(F2+6*E2-7.5*C2+1)</f>
        <v>0.146889844308642</v>
      </c>
      <c r="BA2" s="2">
        <f>(F2-(E2-2*C2))/(F2+(E2-2*C2))</f>
        <v>0.786487142419015</v>
      </c>
      <c r="BB2" s="2">
        <f>(F2-E2-0.2*(F2-C2))*F2/E2</f>
        <v>0.10237108110984</v>
      </c>
      <c r="BC2" s="2">
        <f>1.5*(2.5*F2-E2)-1.3*(F2-E2)/POWER(POWER((2*F2+1),2)-(6*F2-5*POWER(E2,0.5))-0.5,0.5)</f>
        <v>0.788189900060248</v>
      </c>
      <c r="BD2" s="2">
        <f>3*(F2-E2-0.2*(F2-D2)*F2/E2)</f>
        <v>0.116585985857418</v>
      </c>
      <c r="BE2" s="2">
        <f>1.2*(1.2*(F2-C2)-2.5*(E2-C2))</f>
        <v>-0.026184612616368</v>
      </c>
      <c r="BF2" s="2">
        <f>(F2-E2)/(F2+E2)/((F2-C2)/(F2+C2))</f>
        <v>0.370526269512686</v>
      </c>
    </row>
    <row r="3" s="2" customFormat="1" spans="1:58">
      <c r="A3" s="5">
        <v>202.5</v>
      </c>
      <c r="B3" s="6">
        <v>0.04214292048</v>
      </c>
      <c r="C3" s="6">
        <v>0.0707380001851</v>
      </c>
      <c r="D3" s="6">
        <v>0.0670029675662</v>
      </c>
      <c r="E3" s="6">
        <v>0.185532040733</v>
      </c>
      <c r="F3" s="6">
        <v>0.314845354683</v>
      </c>
      <c r="G3" s="2">
        <f t="shared" ref="G3:G66" si="0">F3/C3</f>
        <v>4.45086592579865</v>
      </c>
      <c r="H3" s="2">
        <f t="shared" ref="H3:H66" si="1">F3-C3</f>
        <v>0.2441073544979</v>
      </c>
      <c r="I3" s="2">
        <f t="shared" ref="I3:I66" si="2">(F3-C3)/(F3+C3)</f>
        <v>0.633085820266811</v>
      </c>
      <c r="J3" s="2">
        <f t="shared" ref="J3:J66" si="3">(0.12*F3-C3)/(0.12*F3+C3)</f>
        <v>-0.303692654411763</v>
      </c>
      <c r="K3" s="2">
        <f t="shared" ref="K3:K66" si="4">F3/C3-1</f>
        <v>3.45086592579865</v>
      </c>
      <c r="L3" s="2">
        <f t="shared" ref="L3:L66" si="5">(F3/C3-1)/POWER(F3/C3+1,0.5)</f>
        <v>1.47807113674039</v>
      </c>
      <c r="M3" s="2">
        <f t="shared" ref="M3:M66" si="6">1.5*(F3-C3)/(F3+C3+0.5)</f>
        <v>0.413468737566083</v>
      </c>
      <c r="N3" s="2">
        <f t="shared" ref="N3:N66" si="7">0.5*(2*F3+1-POWER(POWER(2*F3+1,2)-8*(F3-C3),0.5))</f>
        <v>0.395610047185332</v>
      </c>
      <c r="O3" s="2">
        <f t="shared" ref="O3:O66" si="8">1.16*(F3-C3)/(F3+C3+0.16)</f>
        <v>0.519012408811522</v>
      </c>
      <c r="P3" s="2">
        <f t="shared" ref="P3:P66" si="9">(F3-C3)/POWER(F3+C3,0.5)</f>
        <v>0.39311690978062</v>
      </c>
      <c r="Q3" s="2">
        <f t="shared" ref="Q3:Q66" si="10">(F3-D3)/(F3+D3)</f>
        <v>0.649059777602098</v>
      </c>
      <c r="R3" s="2">
        <f t="shared" ref="R3:R66" si="11">F3/D3</f>
        <v>4.69897627104244</v>
      </c>
      <c r="S3" s="2">
        <f t="shared" ref="S3:S66" si="12">1.16*(F3-D3)/(F3+D3+0.16)</f>
        <v>0.53058606486423</v>
      </c>
      <c r="T3" s="2">
        <f t="shared" ref="T3:T66" si="13">(0.12*F3-D3)/(0.12*F3+D3)</f>
        <v>-0.278872830113751</v>
      </c>
      <c r="U3" s="2">
        <f t="shared" ref="U3:U66" si="14">1.5*(F3-D3)/(F3+D3+0.5)</f>
        <v>0.421573156398368</v>
      </c>
      <c r="V3" s="2">
        <f t="shared" ref="V3:V66" si="15">(2*F3+1-POWER(POWER(2*F3+1,2)-8*(F3-D3),0.5))/2</f>
        <v>0.404615933730694</v>
      </c>
      <c r="W3" s="2">
        <f t="shared" ref="W3:W66" si="16">F3-D3</f>
        <v>0.2478423871168</v>
      </c>
      <c r="X3" s="2">
        <f t="shared" ref="X3:X66" si="17">(F3-D3)/POWER(F3+D3,0.5)</f>
        <v>0.401079199987239</v>
      </c>
      <c r="Y3" s="2">
        <f t="shared" ref="Y3:Y66" si="18">POWER((F3-D3)/(F3+D3)+0.5,0.5)</f>
        <v>1.07194205888289</v>
      </c>
      <c r="Z3" s="2">
        <f t="shared" ref="Z3:Z66" si="19">(F3/D3-1)/(POWER(F3/D3,0.5)+1)</f>
        <v>1.16771222053169</v>
      </c>
      <c r="AA3" s="2">
        <f t="shared" ref="AA3:AA66" si="20">((1+0.45)*(POWER(F3,2)+1)/(D3+0.45))</f>
        <v>3.08264191148159</v>
      </c>
      <c r="AB3" s="2">
        <f t="shared" ref="AB3:AB66" si="21">(D3+F3)/2</f>
        <v>0.1909241611246</v>
      </c>
      <c r="AC3" s="2">
        <f t="shared" ref="AC3:AC66" si="22">F3/E3</f>
        <v>1.6969864258438</v>
      </c>
      <c r="AD3" s="2">
        <f t="shared" ref="AD3:AD66" si="23">F3-E3</f>
        <v>0.12931331395</v>
      </c>
      <c r="AE3" s="2">
        <f t="shared" ref="AE3:AE66" si="24">(F3-E3)/(F3+E3)</f>
        <v>0.258431566123191</v>
      </c>
      <c r="AF3" s="2">
        <f t="shared" ref="AF3:AF66" si="25">(F3-E3)/POWER(F3+E3,0.5)</f>
        <v>0.182807664622352</v>
      </c>
      <c r="AG3" s="7">
        <f t="shared" ref="AG3:AG66" si="26">1.5*(F3-E3)/(F3+E3+0.5)</f>
        <v>0.193896795163328</v>
      </c>
      <c r="AH3" s="2">
        <f t="shared" ref="AH3:AH66" si="27">100*(LN(F3)-LN(E3))</f>
        <v>52.8853987306603</v>
      </c>
      <c r="AI3" s="2">
        <f t="shared" ref="AI3:AI66" si="28">F3/E3-1</f>
        <v>0.6969864258438</v>
      </c>
      <c r="AJ3" s="2">
        <f t="shared" ref="AJ3:AJ66" si="29">(F3/E3-1)/POWER(F3/E3+1,0.5)</f>
        <v>0.424409346736636</v>
      </c>
      <c r="AK3" s="2">
        <f t="shared" ref="AK3:AK66" si="30">1.5*(F3-E3)/(F3+D3+0.5)</f>
        <v>0.219958428259261</v>
      </c>
      <c r="AL3" s="2">
        <f t="shared" ref="AL3:AL66" si="31">1.16*(F3-E3)/(F3+E3+0.16)</f>
        <v>0.227148059917324</v>
      </c>
      <c r="AM3" s="2">
        <f t="shared" ref="AM3:AM66" si="32">F3/D3</f>
        <v>4.69897627104244</v>
      </c>
      <c r="AN3" s="2">
        <f t="shared" ref="AN3:AN66" si="33">E3-D3</f>
        <v>0.1185290731668</v>
      </c>
      <c r="AO3" s="2">
        <f t="shared" ref="AO3:AO66" si="34">(E3-D3)/(E3+D3)</f>
        <v>0.4693569971351</v>
      </c>
      <c r="AP3" s="2">
        <f t="shared" ref="AP3:AP66" si="35">E3/D3</f>
        <v>2.76901229113011</v>
      </c>
      <c r="AQ3" s="2">
        <f t="shared" ref="AQ3:AQ66" si="36">E3-C3</f>
        <v>0.1147940405479</v>
      </c>
      <c r="AR3" s="2">
        <f t="shared" ref="AR3:AR66" si="37">(E3-C3)/(E3+C3)</f>
        <v>0.447941710769799</v>
      </c>
      <c r="AS3" s="2">
        <f t="shared" ref="AS3:AS66" si="38">(F3-E3)/(E3-D3)</f>
        <v>1.09098392904856</v>
      </c>
      <c r="AT3" s="2">
        <f t="shared" ref="AT3:AT66" si="39">C3/(F3+E3+C3)</f>
        <v>0.123859382411935</v>
      </c>
      <c r="AU3" s="2">
        <f t="shared" ref="AU3:AU66" si="40">E3/(F3+E3+C3)</f>
        <v>0.324859112820321</v>
      </c>
      <c r="AV3" s="2">
        <f t="shared" ref="AV3:AV66" si="41">D3/(F3+E3+D3)</f>
        <v>0.118091798619936</v>
      </c>
      <c r="AW3" s="2">
        <f t="shared" ref="AW3:AW66" si="42">F3/(F3+E3+D3)</f>
        <v>0.5549105595198</v>
      </c>
      <c r="AX3" s="2">
        <f t="shared" ref="AX3:AX66" si="43">F3-2*E3+C3</f>
        <v>0.0145192734021</v>
      </c>
      <c r="AY3" s="7">
        <f t="shared" ref="AY3:AY66" si="44">(F3-D3)/(F3-C3)</f>
        <v>1.01530077873558</v>
      </c>
      <c r="AZ3" s="2">
        <f t="shared" ref="AZ3:AZ66" si="45">2.5*(F3-E3)/(F3+6*E3-7.5*C3+1)</f>
        <v>0.170373039419336</v>
      </c>
      <c r="BA3" s="2">
        <f t="shared" ref="BA3:BA66" si="46">(F3-(E3-2*C3))/(F3+(E3-2*C3))</f>
        <v>0.75449501745638</v>
      </c>
      <c r="BB3" s="2">
        <f t="shared" ref="BB3:BB66" si="47">(F3-E3-0.2*(F3-C3))*F3/E3</f>
        <v>0.136593565047712</v>
      </c>
      <c r="BC3" s="2">
        <f t="shared" ref="BC3:BC66" si="48">1.5*(2.5*F3-E3)-1.3*(F3-E3)/POWER(POWER((2*F3+1),2)-(6*F3-5*POWER(E3,0.5))-0.5,0.5)</f>
        <v>0.794319513909661</v>
      </c>
      <c r="BD3" s="2">
        <f t="shared" ref="BD3:BD66" si="49">3*(F3-E3-0.2*(F3-D3)*F3/E3)</f>
        <v>0.13558884183844</v>
      </c>
      <c r="BE3" s="2">
        <f t="shared" ref="BE3:BE66" si="50">1.2*(1.2*(F3-C3)-2.5*(E3-C3))</f>
        <v>0.00713246883327596</v>
      </c>
      <c r="BF3" s="2">
        <f t="shared" ref="BF3:BF66" si="51">(F3-E3)/(F3+E3)/((F3-C3)/(F3+C3))</f>
        <v>0.408209373595315</v>
      </c>
    </row>
    <row r="4" s="2" customFormat="1" spans="1:58">
      <c r="A4" s="5">
        <v>201.5</v>
      </c>
      <c r="B4" s="6">
        <v>0.0769018382925</v>
      </c>
      <c r="C4" s="6">
        <v>0.127548527439</v>
      </c>
      <c r="D4" s="6">
        <v>0.141609675055</v>
      </c>
      <c r="E4" s="6">
        <v>0.25263358428</v>
      </c>
      <c r="F4" s="6">
        <v>0.344550714697</v>
      </c>
      <c r="G4" s="2">
        <f t="shared" si="0"/>
        <v>2.70133040039824</v>
      </c>
      <c r="H4" s="2">
        <f t="shared" si="1"/>
        <v>0.217002187258</v>
      </c>
      <c r="I4" s="2">
        <f t="shared" si="2"/>
        <v>0.459653750504194</v>
      </c>
      <c r="J4" s="2">
        <f t="shared" si="3"/>
        <v>-0.510391894926419</v>
      </c>
      <c r="K4" s="2">
        <f t="shared" si="4"/>
        <v>1.70133040039824</v>
      </c>
      <c r="L4" s="2">
        <f t="shared" si="5"/>
        <v>0.884320586320286</v>
      </c>
      <c r="M4" s="2">
        <f t="shared" si="6"/>
        <v>0.334845730536493</v>
      </c>
      <c r="N4" s="2">
        <f t="shared" si="7"/>
        <v>0.316098696838033</v>
      </c>
      <c r="O4" s="2">
        <f t="shared" si="8"/>
        <v>0.39823261987889</v>
      </c>
      <c r="P4" s="2">
        <f t="shared" si="9"/>
        <v>0.315825694396059</v>
      </c>
      <c r="Q4" s="2">
        <f t="shared" si="10"/>
        <v>0.417436393255987</v>
      </c>
      <c r="R4" s="2">
        <f t="shared" si="11"/>
        <v>2.43310151346071</v>
      </c>
      <c r="S4" s="2">
        <f t="shared" si="12"/>
        <v>0.364323795946502</v>
      </c>
      <c r="T4" s="2">
        <f t="shared" si="13"/>
        <v>-0.548020946936725</v>
      </c>
      <c r="U4" s="2">
        <f t="shared" si="14"/>
        <v>0.308683620460109</v>
      </c>
      <c r="V4" s="2">
        <f t="shared" si="15"/>
        <v>0.290128645862061</v>
      </c>
      <c r="W4" s="2">
        <f t="shared" si="16"/>
        <v>0.202941039642</v>
      </c>
      <c r="X4" s="2">
        <f t="shared" si="17"/>
        <v>0.291058371519832</v>
      </c>
      <c r="Y4" s="2">
        <f t="shared" si="18"/>
        <v>0.957829000007824</v>
      </c>
      <c r="Z4" s="2">
        <f t="shared" si="19"/>
        <v>0.559840220490776</v>
      </c>
      <c r="AA4" s="2">
        <f t="shared" si="20"/>
        <v>2.74190416611528</v>
      </c>
      <c r="AB4" s="2">
        <f t="shared" si="21"/>
        <v>0.243080194876</v>
      </c>
      <c r="AC4" s="2">
        <f t="shared" si="22"/>
        <v>1.36383575318761</v>
      </c>
      <c r="AD4" s="2">
        <f t="shared" si="23"/>
        <v>0.091917130417</v>
      </c>
      <c r="AE4" s="2">
        <f t="shared" si="24"/>
        <v>0.153917526925034</v>
      </c>
      <c r="AF4" s="2">
        <f t="shared" si="25"/>
        <v>0.118943925426356</v>
      </c>
      <c r="AG4" s="7">
        <f t="shared" si="26"/>
        <v>0.125663205127938</v>
      </c>
      <c r="AH4" s="2">
        <f t="shared" si="27"/>
        <v>31.0301136619132</v>
      </c>
      <c r="AI4" s="2">
        <f t="shared" si="28"/>
        <v>0.363835753187613</v>
      </c>
      <c r="AJ4" s="2">
        <f t="shared" si="29"/>
        <v>0.236644668939624</v>
      </c>
      <c r="AK4" s="2">
        <f t="shared" si="30"/>
        <v>0.139810620116443</v>
      </c>
      <c r="AL4" s="2">
        <f t="shared" si="31"/>
        <v>0.140816273432736</v>
      </c>
      <c r="AM4" s="2">
        <f t="shared" si="32"/>
        <v>2.43310151346071</v>
      </c>
      <c r="AN4" s="2">
        <f t="shared" si="33"/>
        <v>0.111023909225</v>
      </c>
      <c r="AO4" s="2">
        <f t="shared" si="34"/>
        <v>0.281612701285679</v>
      </c>
      <c r="AP4" s="2">
        <f t="shared" si="35"/>
        <v>1.78401358651433</v>
      </c>
      <c r="AQ4" s="2">
        <f t="shared" si="36"/>
        <v>0.125085056841</v>
      </c>
      <c r="AR4" s="2">
        <f t="shared" si="37"/>
        <v>0.329013525321919</v>
      </c>
      <c r="AS4" s="2">
        <f t="shared" si="38"/>
        <v>0.827903926808429</v>
      </c>
      <c r="AT4" s="2">
        <f t="shared" si="39"/>
        <v>0.175993859792114</v>
      </c>
      <c r="AU4" s="2">
        <f t="shared" si="40"/>
        <v>0.348588576468023</v>
      </c>
      <c r="AV4" s="2">
        <f t="shared" si="41"/>
        <v>0.19167681387838</v>
      </c>
      <c r="AW4" s="2">
        <f t="shared" si="42"/>
        <v>0.466369145942812</v>
      </c>
      <c r="AX4" s="2">
        <f t="shared" si="43"/>
        <v>-0.033167926424</v>
      </c>
      <c r="AY4" s="7">
        <f t="shared" si="44"/>
        <v>0.935202737844839</v>
      </c>
      <c r="AZ4" s="2">
        <f t="shared" si="45"/>
        <v>0.12070610247079</v>
      </c>
      <c r="BA4" s="2">
        <f t="shared" si="46"/>
        <v>1.0144025867114</v>
      </c>
      <c r="BB4" s="2">
        <f t="shared" si="47"/>
        <v>0.0661688004926385</v>
      </c>
      <c r="BC4" s="2">
        <f t="shared" si="48"/>
        <v>0.841690390771562</v>
      </c>
      <c r="BD4" s="2">
        <f t="shared" si="49"/>
        <v>0.109684443859305</v>
      </c>
      <c r="BE4" s="2">
        <f t="shared" si="50"/>
        <v>-0.06277202087148</v>
      </c>
      <c r="BF4" s="2">
        <f t="shared" si="51"/>
        <v>0.334855370496166</v>
      </c>
    </row>
    <row r="5" s="2" customFormat="1" spans="1:58">
      <c r="A5" s="5">
        <v>177.5</v>
      </c>
      <c r="B5" s="6">
        <v>0.0486644086199</v>
      </c>
      <c r="C5" s="6">
        <v>0.0939965452383</v>
      </c>
      <c r="D5" s="6">
        <v>0.0831839379768</v>
      </c>
      <c r="E5" s="6">
        <v>0.226409115303</v>
      </c>
      <c r="F5" s="6">
        <v>0.320921871386</v>
      </c>
      <c r="G5" s="2">
        <f t="shared" si="0"/>
        <v>3.41418794246532</v>
      </c>
      <c r="H5" s="2">
        <f t="shared" si="1"/>
        <v>0.2269253261477</v>
      </c>
      <c r="I5" s="2">
        <f t="shared" si="2"/>
        <v>0.546915530995039</v>
      </c>
      <c r="J5" s="2">
        <f t="shared" si="3"/>
        <v>-0.418739006755583</v>
      </c>
      <c r="K5" s="2">
        <f t="shared" si="4"/>
        <v>2.41418794246532</v>
      </c>
      <c r="L5" s="2">
        <f t="shared" si="5"/>
        <v>1.14906783110278</v>
      </c>
      <c r="M5" s="2">
        <f t="shared" si="6"/>
        <v>0.372041903449109</v>
      </c>
      <c r="N5" s="2">
        <f t="shared" si="7"/>
        <v>0.351814136825492</v>
      </c>
      <c r="O5" s="2">
        <f t="shared" si="8"/>
        <v>0.457862143079251</v>
      </c>
      <c r="P5" s="2">
        <f t="shared" si="9"/>
        <v>0.352291051896428</v>
      </c>
      <c r="Q5" s="2">
        <f t="shared" si="10"/>
        <v>0.58830615126288</v>
      </c>
      <c r="R5" s="2">
        <f t="shared" si="11"/>
        <v>3.85797882609868</v>
      </c>
      <c r="S5" s="2">
        <f t="shared" si="12"/>
        <v>0.488872828780441</v>
      </c>
      <c r="T5" s="2">
        <f t="shared" si="13"/>
        <v>-0.367093750755305</v>
      </c>
      <c r="U5" s="2">
        <f t="shared" si="14"/>
        <v>0.39443049300295</v>
      </c>
      <c r="V5" s="2">
        <f t="shared" si="15"/>
        <v>0.375459356575278</v>
      </c>
      <c r="W5" s="2">
        <f t="shared" si="16"/>
        <v>0.2377379334092</v>
      </c>
      <c r="X5" s="2">
        <f t="shared" si="17"/>
        <v>0.373982203604874</v>
      </c>
      <c r="Y5" s="2">
        <f t="shared" si="18"/>
        <v>1.04321912907255</v>
      </c>
      <c r="Z5" s="2">
        <f t="shared" si="19"/>
        <v>0.964173827872339</v>
      </c>
      <c r="AA5" s="2">
        <f t="shared" si="20"/>
        <v>2.99959660261509</v>
      </c>
      <c r="AB5" s="2">
        <f t="shared" si="21"/>
        <v>0.2020529046814</v>
      </c>
      <c r="AC5" s="2">
        <f t="shared" si="22"/>
        <v>1.41744236293894</v>
      </c>
      <c r="AD5" s="2">
        <f t="shared" si="23"/>
        <v>0.094512756083</v>
      </c>
      <c r="AE5" s="2">
        <f t="shared" si="24"/>
        <v>0.172679344640692</v>
      </c>
      <c r="AF5" s="2">
        <f t="shared" si="25"/>
        <v>0.127751323987652</v>
      </c>
      <c r="AG5" s="7">
        <f t="shared" si="26"/>
        <v>0.135362302773724</v>
      </c>
      <c r="AH5" s="2">
        <f t="shared" si="27"/>
        <v>34.8854094727085</v>
      </c>
      <c r="AI5" s="2">
        <f t="shared" si="28"/>
        <v>0.417442362938943</v>
      </c>
      <c r="AJ5" s="2">
        <f t="shared" si="29"/>
        <v>0.26848402868245</v>
      </c>
      <c r="AK5" s="2">
        <f t="shared" si="30"/>
        <v>0.156805909945891</v>
      </c>
      <c r="AL5" s="2">
        <f t="shared" si="31"/>
        <v>0.154997871038392</v>
      </c>
      <c r="AM5" s="2">
        <f t="shared" si="32"/>
        <v>3.85797882609868</v>
      </c>
      <c r="AN5" s="2">
        <f t="shared" si="33"/>
        <v>0.1432251773262</v>
      </c>
      <c r="AO5" s="2">
        <f t="shared" si="34"/>
        <v>0.462624002085595</v>
      </c>
      <c r="AP5" s="2">
        <f t="shared" si="35"/>
        <v>2.72178885503287</v>
      </c>
      <c r="AQ5" s="2">
        <f t="shared" si="36"/>
        <v>0.1324125700647</v>
      </c>
      <c r="AR5" s="2">
        <f t="shared" si="37"/>
        <v>0.413265389384817</v>
      </c>
      <c r="AS5" s="2">
        <f t="shared" si="38"/>
        <v>0.659889258630444</v>
      </c>
      <c r="AT5" s="2">
        <f t="shared" si="39"/>
        <v>0.146565585537587</v>
      </c>
      <c r="AU5" s="2">
        <f t="shared" si="40"/>
        <v>0.353031959539615</v>
      </c>
      <c r="AV5" s="2">
        <f t="shared" si="41"/>
        <v>0.131930164890056</v>
      </c>
      <c r="AW5" s="2">
        <f t="shared" si="42"/>
        <v>0.508983782669542</v>
      </c>
      <c r="AX5" s="2">
        <f t="shared" si="43"/>
        <v>-0.0378998139817</v>
      </c>
      <c r="AY5" s="7">
        <f t="shared" si="44"/>
        <v>1.04764830548029</v>
      </c>
      <c r="AZ5" s="2">
        <f t="shared" si="45"/>
        <v>0.119672606436099</v>
      </c>
      <c r="BA5" s="2">
        <f t="shared" si="46"/>
        <v>0.786184395070356</v>
      </c>
      <c r="BB5" s="2">
        <f t="shared" si="47"/>
        <v>0.0696356702090622</v>
      </c>
      <c r="BC5" s="2">
        <f t="shared" si="48"/>
        <v>0.788356220097075</v>
      </c>
      <c r="BD5" s="2">
        <f t="shared" si="49"/>
        <v>0.0813503773939454</v>
      </c>
      <c r="BE5" s="2">
        <f t="shared" si="50"/>
        <v>-0.0704652405414121</v>
      </c>
      <c r="BF5" s="2">
        <f t="shared" si="51"/>
        <v>0.315733115727259</v>
      </c>
    </row>
    <row r="6" s="2" customFormat="1" spans="1:58">
      <c r="A6" s="5">
        <v>184</v>
      </c>
      <c r="B6" s="6">
        <v>0.0444176724566</v>
      </c>
      <c r="C6" s="6">
        <v>0.0823895989236</v>
      </c>
      <c r="D6" s="6">
        <v>0.0722055342923</v>
      </c>
      <c r="E6" s="6">
        <v>0.209171359079</v>
      </c>
      <c r="F6" s="6">
        <v>0.310997163576</v>
      </c>
      <c r="G6" s="2">
        <f t="shared" si="0"/>
        <v>3.77471389154823</v>
      </c>
      <c r="H6" s="2">
        <f t="shared" si="1"/>
        <v>0.2286075646524</v>
      </c>
      <c r="I6" s="2">
        <f t="shared" si="2"/>
        <v>0.58112673441225</v>
      </c>
      <c r="J6" s="2">
        <f t="shared" si="3"/>
        <v>-0.376495016671005</v>
      </c>
      <c r="K6" s="2">
        <f t="shared" si="4"/>
        <v>2.77471389154823</v>
      </c>
      <c r="L6" s="2">
        <f t="shared" si="5"/>
        <v>1.26982692628709</v>
      </c>
      <c r="M6" s="2">
        <f t="shared" si="6"/>
        <v>0.383833028843153</v>
      </c>
      <c r="N6" s="2">
        <f t="shared" si="7"/>
        <v>0.363223481875615</v>
      </c>
      <c r="O6" s="2">
        <f t="shared" si="8"/>
        <v>0.479203322101467</v>
      </c>
      <c r="P6" s="2">
        <f t="shared" si="9"/>
        <v>0.364485894800315</v>
      </c>
      <c r="Q6" s="2">
        <f t="shared" si="10"/>
        <v>0.623147046229222</v>
      </c>
      <c r="R6" s="2">
        <f t="shared" si="11"/>
        <v>4.30710978907838</v>
      </c>
      <c r="S6" s="2">
        <f t="shared" si="12"/>
        <v>0.509935409113617</v>
      </c>
      <c r="T6" s="2">
        <f t="shared" si="13"/>
        <v>-0.318519177315579</v>
      </c>
      <c r="U6" s="2">
        <f t="shared" si="14"/>
        <v>0.405555196774276</v>
      </c>
      <c r="V6" s="2">
        <f t="shared" si="15"/>
        <v>0.386576215976901</v>
      </c>
      <c r="W6" s="2">
        <f t="shared" si="16"/>
        <v>0.2387916292837</v>
      </c>
      <c r="X6" s="2">
        <f t="shared" si="17"/>
        <v>0.385749009658354</v>
      </c>
      <c r="Y6" s="2">
        <f t="shared" si="18"/>
        <v>1.05978632102383</v>
      </c>
      <c r="Z6" s="2">
        <f t="shared" si="19"/>
        <v>1.0753577496611</v>
      </c>
      <c r="AA6" s="2">
        <f t="shared" si="20"/>
        <v>3.04524327570748</v>
      </c>
      <c r="AB6" s="2">
        <f t="shared" si="21"/>
        <v>0.19160134893415</v>
      </c>
      <c r="AC6" s="2">
        <f t="shared" si="22"/>
        <v>1.48680567428231</v>
      </c>
      <c r="AD6" s="2">
        <f t="shared" si="23"/>
        <v>0.101825804497</v>
      </c>
      <c r="AE6" s="2">
        <f t="shared" si="24"/>
        <v>0.195755413990199</v>
      </c>
      <c r="AF6" s="2">
        <f t="shared" si="25"/>
        <v>0.141184108575276</v>
      </c>
      <c r="AG6" s="7">
        <f t="shared" si="26"/>
        <v>0.149719093810105</v>
      </c>
      <c r="AH6" s="2">
        <f t="shared" si="27"/>
        <v>39.6629975873219</v>
      </c>
      <c r="AI6" s="2">
        <f t="shared" si="28"/>
        <v>0.486805674282311</v>
      </c>
      <c r="AJ6" s="2">
        <f t="shared" si="29"/>
        <v>0.308698633462981</v>
      </c>
      <c r="AK6" s="2">
        <f t="shared" si="30"/>
        <v>0.172937319048221</v>
      </c>
      <c r="AL6" s="2">
        <f t="shared" si="31"/>
        <v>0.173659805301564</v>
      </c>
      <c r="AM6" s="2">
        <f t="shared" si="32"/>
        <v>4.30710978907838</v>
      </c>
      <c r="AN6" s="2">
        <f t="shared" si="33"/>
        <v>0.1369658247867</v>
      </c>
      <c r="AO6" s="2">
        <f t="shared" si="34"/>
        <v>0.48676998009912</v>
      </c>
      <c r="AP6" s="2">
        <f t="shared" si="35"/>
        <v>2.89688818356</v>
      </c>
      <c r="AQ6" s="2">
        <f t="shared" si="36"/>
        <v>0.1267817601554</v>
      </c>
      <c r="AR6" s="2">
        <f t="shared" si="37"/>
        <v>0.434837918711563</v>
      </c>
      <c r="AS6" s="2">
        <f t="shared" si="38"/>
        <v>0.743439501463782</v>
      </c>
      <c r="AT6" s="2">
        <f t="shared" si="39"/>
        <v>0.136733032006528</v>
      </c>
      <c r="AU6" s="2">
        <f t="shared" si="40"/>
        <v>0.347138892644923</v>
      </c>
      <c r="AV6" s="2">
        <f t="shared" si="41"/>
        <v>0.121891790238754</v>
      </c>
      <c r="AW6" s="2">
        <f t="shared" si="42"/>
        <v>0.525001322945626</v>
      </c>
      <c r="AX6" s="2">
        <f t="shared" si="43"/>
        <v>-0.0249559556584</v>
      </c>
      <c r="AY6" s="7">
        <f t="shared" si="44"/>
        <v>1.04454823989217</v>
      </c>
      <c r="AZ6" s="2">
        <f t="shared" si="45"/>
        <v>0.130673002724716</v>
      </c>
      <c r="BA6" s="2">
        <f t="shared" si="46"/>
        <v>0.750177294966257</v>
      </c>
      <c r="BB6" s="2">
        <f t="shared" si="47"/>
        <v>0.0834161790526911</v>
      </c>
      <c r="BC6" s="2">
        <f t="shared" si="48"/>
        <v>0.769613526131758</v>
      </c>
      <c r="BD6" s="2">
        <f t="shared" si="49"/>
        <v>0.092455363856926</v>
      </c>
      <c r="BE6" s="2">
        <f t="shared" si="50"/>
        <v>-0.051150387366744</v>
      </c>
      <c r="BF6" s="2">
        <f t="shared" si="51"/>
        <v>0.336854944710444</v>
      </c>
    </row>
    <row r="7" s="2" customFormat="1" spans="1:58">
      <c r="A7" s="5">
        <v>191.5</v>
      </c>
      <c r="B7" s="6">
        <v>0.0408965385057</v>
      </c>
      <c r="C7" s="6">
        <v>0.0766351820089</v>
      </c>
      <c r="D7" s="6">
        <v>0.0663609780796</v>
      </c>
      <c r="E7" s="6">
        <v>0.199680476362</v>
      </c>
      <c r="F7" s="6">
        <v>0.297156771826</v>
      </c>
      <c r="G7" s="2">
        <f t="shared" si="0"/>
        <v>3.87755028482205</v>
      </c>
      <c r="H7" s="2">
        <f t="shared" si="1"/>
        <v>0.2205215898171</v>
      </c>
      <c r="I7" s="2">
        <f t="shared" si="2"/>
        <v>0.589958097157174</v>
      </c>
      <c r="J7" s="2">
        <f t="shared" si="3"/>
        <v>-0.364902589185793</v>
      </c>
      <c r="K7" s="2">
        <f t="shared" si="4"/>
        <v>2.87755028482205</v>
      </c>
      <c r="L7" s="2">
        <f t="shared" si="5"/>
        <v>1.3029328802773</v>
      </c>
      <c r="M7" s="2">
        <f t="shared" si="6"/>
        <v>0.378559659738124</v>
      </c>
      <c r="N7" s="2">
        <f t="shared" si="7"/>
        <v>0.356230769832639</v>
      </c>
      <c r="O7" s="2">
        <f t="shared" si="8"/>
        <v>0.479222368096908</v>
      </c>
      <c r="P7" s="2">
        <f t="shared" si="9"/>
        <v>0.360691693154377</v>
      </c>
      <c r="Q7" s="2">
        <f t="shared" si="10"/>
        <v>0.634895527952443</v>
      </c>
      <c r="R7" s="2">
        <f t="shared" si="11"/>
        <v>4.47788414856635</v>
      </c>
      <c r="S7" s="2">
        <f t="shared" si="12"/>
        <v>0.511392633380816</v>
      </c>
      <c r="T7" s="2">
        <f t="shared" si="13"/>
        <v>-0.300943231212346</v>
      </c>
      <c r="U7" s="2">
        <f t="shared" si="14"/>
        <v>0.400910914289192</v>
      </c>
      <c r="V7" s="2">
        <f t="shared" si="15"/>
        <v>0.380182754199902</v>
      </c>
      <c r="W7" s="2">
        <f t="shared" si="16"/>
        <v>0.2307957937464</v>
      </c>
      <c r="X7" s="2">
        <f t="shared" si="17"/>
        <v>0.382793961968869</v>
      </c>
      <c r="Y7" s="2">
        <f t="shared" si="18"/>
        <v>1.06531475534344</v>
      </c>
      <c r="Z7" s="2">
        <f t="shared" si="19"/>
        <v>1.11610116690255</v>
      </c>
      <c r="AA7" s="2">
        <f t="shared" si="20"/>
        <v>3.05607545922594</v>
      </c>
      <c r="AB7" s="2">
        <f t="shared" si="21"/>
        <v>0.1817588749528</v>
      </c>
      <c r="AC7" s="2">
        <f t="shared" si="22"/>
        <v>1.48816137280885</v>
      </c>
      <c r="AD7" s="2">
        <f t="shared" si="23"/>
        <v>0.097476295464</v>
      </c>
      <c r="AE7" s="2">
        <f t="shared" si="24"/>
        <v>0.196193614346555</v>
      </c>
      <c r="AF7" s="2">
        <f t="shared" si="25"/>
        <v>0.138290371032096</v>
      </c>
      <c r="AG7" s="7">
        <f t="shared" si="26"/>
        <v>0.146678350414555</v>
      </c>
      <c r="AH7" s="2">
        <f t="shared" si="27"/>
        <v>39.7541379998998</v>
      </c>
      <c r="AI7" s="2">
        <f t="shared" si="28"/>
        <v>0.488161372808855</v>
      </c>
      <c r="AJ7" s="2">
        <f t="shared" si="29"/>
        <v>0.309473979707091</v>
      </c>
      <c r="AK7" s="2">
        <f t="shared" si="30"/>
        <v>0.169324189586125</v>
      </c>
      <c r="AL7" s="2">
        <f t="shared" si="31"/>
        <v>0.172146910136674</v>
      </c>
      <c r="AM7" s="2">
        <f t="shared" si="32"/>
        <v>4.47788414856635</v>
      </c>
      <c r="AN7" s="2">
        <f t="shared" si="33"/>
        <v>0.1333194982824</v>
      </c>
      <c r="AO7" s="2">
        <f t="shared" si="34"/>
        <v>0.501123024463338</v>
      </c>
      <c r="AP7" s="2">
        <f t="shared" si="35"/>
        <v>3.00900442007475</v>
      </c>
      <c r="AQ7" s="2">
        <f t="shared" si="36"/>
        <v>0.1230452943531</v>
      </c>
      <c r="AR7" s="2">
        <f t="shared" si="37"/>
        <v>0.44530699084717</v>
      </c>
      <c r="AS7" s="2">
        <f t="shared" si="38"/>
        <v>0.731148082012158</v>
      </c>
      <c r="AT7" s="2">
        <f t="shared" si="39"/>
        <v>0.13363359417747</v>
      </c>
      <c r="AU7" s="2">
        <f t="shared" si="40"/>
        <v>0.348195424657887</v>
      </c>
      <c r="AV7" s="2">
        <f t="shared" si="41"/>
        <v>0.117828812280508</v>
      </c>
      <c r="AW7" s="2">
        <f t="shared" si="42"/>
        <v>0.527623770755286</v>
      </c>
      <c r="AX7" s="2">
        <f t="shared" si="43"/>
        <v>-0.0255689988891</v>
      </c>
      <c r="AY7" s="7">
        <f t="shared" si="44"/>
        <v>1.04659046734527</v>
      </c>
      <c r="AZ7" s="2">
        <f t="shared" si="45"/>
        <v>0.126890816905843</v>
      </c>
      <c r="BA7" s="2">
        <f t="shared" si="46"/>
        <v>0.729833610382491</v>
      </c>
      <c r="BB7" s="2">
        <f t="shared" si="47"/>
        <v>0.0794261153067864</v>
      </c>
      <c r="BC7" s="2">
        <f t="shared" si="48"/>
        <v>0.734563327374072</v>
      </c>
      <c r="BD7" s="2">
        <f t="shared" si="49"/>
        <v>0.0863520552359088</v>
      </c>
      <c r="BE7" s="2">
        <f t="shared" si="50"/>
        <v>-0.0515847937226761</v>
      </c>
      <c r="BF7" s="2">
        <f t="shared" si="51"/>
        <v>0.332555168395774</v>
      </c>
    </row>
    <row r="8" s="2" customFormat="1" spans="1:58">
      <c r="A8" s="5">
        <v>182.5</v>
      </c>
      <c r="B8" s="6">
        <v>0.0608665245825</v>
      </c>
      <c r="C8" s="6">
        <v>0.106086999733</v>
      </c>
      <c r="D8" s="6">
        <v>0.106574859138</v>
      </c>
      <c r="E8" s="6">
        <v>0.221768606657</v>
      </c>
      <c r="F8" s="6">
        <v>0.300148293944</v>
      </c>
      <c r="G8" s="2">
        <f t="shared" si="0"/>
        <v>2.82926555279548</v>
      </c>
      <c r="H8" s="2">
        <f t="shared" si="1"/>
        <v>0.194061294211</v>
      </c>
      <c r="I8" s="2">
        <f t="shared" si="2"/>
        <v>0.47770663266225</v>
      </c>
      <c r="J8" s="2">
        <f t="shared" si="3"/>
        <v>-0.493081211345637</v>
      </c>
      <c r="K8" s="2">
        <f t="shared" si="4"/>
        <v>1.82926555279548</v>
      </c>
      <c r="L8" s="2">
        <f t="shared" si="5"/>
        <v>0.934800667239266</v>
      </c>
      <c r="M8" s="2">
        <f t="shared" si="6"/>
        <v>0.321210113253712</v>
      </c>
      <c r="N8" s="2">
        <f t="shared" si="7"/>
        <v>0.298038043222613</v>
      </c>
      <c r="O8" s="2">
        <f t="shared" si="8"/>
        <v>0.397557523874821</v>
      </c>
      <c r="P8" s="2">
        <f t="shared" si="9"/>
        <v>0.304473919059769</v>
      </c>
      <c r="Q8" s="2">
        <f t="shared" si="10"/>
        <v>0.47593414178458</v>
      </c>
      <c r="R8" s="2">
        <f t="shared" si="11"/>
        <v>2.81631424495104</v>
      </c>
      <c r="S8" s="2">
        <f t="shared" si="12"/>
        <v>0.396216712082116</v>
      </c>
      <c r="T8" s="2">
        <f t="shared" si="13"/>
        <v>-0.494815558038581</v>
      </c>
      <c r="U8" s="2">
        <f t="shared" si="14"/>
        <v>0.320230217152888</v>
      </c>
      <c r="V8" s="2">
        <f t="shared" si="15"/>
        <v>0.2970673633876</v>
      </c>
      <c r="W8" s="2">
        <f t="shared" si="16"/>
        <v>0.193573434806</v>
      </c>
      <c r="X8" s="2">
        <f t="shared" si="17"/>
        <v>0.303526286450922</v>
      </c>
      <c r="Y8" s="2">
        <f t="shared" si="18"/>
        <v>0.987893790740978</v>
      </c>
      <c r="Z8" s="2">
        <f t="shared" si="19"/>
        <v>0.678187785961703</v>
      </c>
      <c r="AA8" s="2">
        <f t="shared" si="20"/>
        <v>2.83992174936967</v>
      </c>
      <c r="AB8" s="2">
        <f t="shared" si="21"/>
        <v>0.203361576541</v>
      </c>
      <c r="AC8" s="2">
        <f t="shared" si="22"/>
        <v>1.35343003894247</v>
      </c>
      <c r="AD8" s="2">
        <f t="shared" si="23"/>
        <v>0.078379687287</v>
      </c>
      <c r="AE8" s="2">
        <f t="shared" si="24"/>
        <v>0.150176564883689</v>
      </c>
      <c r="AF8" s="2">
        <f t="shared" si="25"/>
        <v>0.108493281789332</v>
      </c>
      <c r="AG8" s="7">
        <f t="shared" si="26"/>
        <v>0.115048034592007</v>
      </c>
      <c r="AH8" s="2">
        <f t="shared" si="27"/>
        <v>30.2642139739227</v>
      </c>
      <c r="AI8" s="2">
        <f t="shared" si="28"/>
        <v>0.353430038942466</v>
      </c>
      <c r="AJ8" s="2">
        <f t="shared" si="29"/>
        <v>0.23038426416552</v>
      </c>
      <c r="AK8" s="2">
        <f t="shared" si="30"/>
        <v>0.129664198527274</v>
      </c>
      <c r="AL8" s="2">
        <f t="shared" si="31"/>
        <v>0.133330670016813</v>
      </c>
      <c r="AM8" s="2">
        <f t="shared" si="32"/>
        <v>2.81631424495104</v>
      </c>
      <c r="AN8" s="2">
        <f t="shared" si="33"/>
        <v>0.115193747519</v>
      </c>
      <c r="AO8" s="2">
        <f t="shared" si="34"/>
        <v>0.350833074262915</v>
      </c>
      <c r="AP8" s="2">
        <f t="shared" si="35"/>
        <v>2.08087168447335</v>
      </c>
      <c r="AQ8" s="2">
        <f t="shared" si="36"/>
        <v>0.115681606924</v>
      </c>
      <c r="AR8" s="2">
        <f t="shared" si="37"/>
        <v>0.352843156161835</v>
      </c>
      <c r="AS8" s="2">
        <f t="shared" si="38"/>
        <v>0.680416159514839</v>
      </c>
      <c r="AT8" s="2">
        <f t="shared" si="39"/>
        <v>0.168927294363265</v>
      </c>
      <c r="AU8" s="2">
        <f t="shared" si="40"/>
        <v>0.353132530767808</v>
      </c>
      <c r="AV8" s="2">
        <f t="shared" si="41"/>
        <v>0.169572404866944</v>
      </c>
      <c r="AW8" s="2">
        <f t="shared" si="42"/>
        <v>0.47756917937738</v>
      </c>
      <c r="AX8" s="2">
        <f t="shared" si="43"/>
        <v>-0.037301919637</v>
      </c>
      <c r="AY8" s="7">
        <f t="shared" si="44"/>
        <v>0.997486055078714</v>
      </c>
      <c r="AZ8" s="2">
        <f t="shared" si="45"/>
        <v>0.106778063444895</v>
      </c>
      <c r="BA8" s="2">
        <f t="shared" si="46"/>
        <v>0.938047928421654</v>
      </c>
      <c r="BB8" s="2">
        <f t="shared" si="47"/>
        <v>0.0535517462208989</v>
      </c>
      <c r="BC8" s="2">
        <f t="shared" si="48"/>
        <v>0.729889052596001</v>
      </c>
      <c r="BD8" s="2">
        <f t="shared" si="49"/>
        <v>0.0779462010163731</v>
      </c>
      <c r="BE8" s="2">
        <f t="shared" si="50"/>
        <v>-0.06759655710816</v>
      </c>
      <c r="BF8" s="2">
        <f t="shared" si="51"/>
        <v>0.314369855086076</v>
      </c>
    </row>
    <row r="9" s="2" customFormat="1" spans="1:58">
      <c r="A9" s="5">
        <v>173.5</v>
      </c>
      <c r="B9" s="6">
        <v>0.0546265860891</v>
      </c>
      <c r="C9" s="6">
        <v>0.0993100919593</v>
      </c>
      <c r="D9" s="6">
        <v>0.0979661417337</v>
      </c>
      <c r="E9" s="6">
        <v>0.217530263019</v>
      </c>
      <c r="F9" s="6">
        <v>0.295886440357</v>
      </c>
      <c r="G9" s="2">
        <f t="shared" si="0"/>
        <v>2.97941965936616</v>
      </c>
      <c r="H9" s="2">
        <f t="shared" si="1"/>
        <v>0.1965763483977</v>
      </c>
      <c r="I9" s="2">
        <f t="shared" si="2"/>
        <v>0.49741415301784</v>
      </c>
      <c r="J9" s="2">
        <f t="shared" si="3"/>
        <v>-0.473263552861291</v>
      </c>
      <c r="K9" s="2">
        <f t="shared" si="4"/>
        <v>1.97941965936616</v>
      </c>
      <c r="L9" s="2">
        <f t="shared" si="5"/>
        <v>0.992265767488974</v>
      </c>
      <c r="M9" s="2">
        <f t="shared" si="6"/>
        <v>0.329385237712656</v>
      </c>
      <c r="N9" s="2">
        <f t="shared" si="7"/>
        <v>0.305700221508758</v>
      </c>
      <c r="O9" s="2">
        <f t="shared" si="8"/>
        <v>0.410716837855576</v>
      </c>
      <c r="P9" s="2">
        <f t="shared" si="9"/>
        <v>0.312697710003738</v>
      </c>
      <c r="Q9" s="2">
        <f t="shared" si="10"/>
        <v>0.502523806173044</v>
      </c>
      <c r="R9" s="2">
        <f t="shared" si="11"/>
        <v>3.02029287997586</v>
      </c>
      <c r="S9" s="2">
        <f t="shared" si="12"/>
        <v>0.414528258650296</v>
      </c>
      <c r="T9" s="2">
        <f t="shared" si="13"/>
        <v>-0.467959782499208</v>
      </c>
      <c r="U9" s="2">
        <f t="shared" si="14"/>
        <v>0.332135806153352</v>
      </c>
      <c r="V9" s="2">
        <f t="shared" si="15"/>
        <v>0.308449645790221</v>
      </c>
      <c r="W9" s="2">
        <f t="shared" si="16"/>
        <v>0.1979202986233</v>
      </c>
      <c r="X9" s="2">
        <f t="shared" si="17"/>
        <v>0.315372259057588</v>
      </c>
      <c r="Y9" s="2">
        <f t="shared" si="18"/>
        <v>1.00126110788997</v>
      </c>
      <c r="Z9" s="2">
        <f t="shared" si="19"/>
        <v>0.737898984399226</v>
      </c>
      <c r="AA9" s="2">
        <f t="shared" si="20"/>
        <v>2.87781601635473</v>
      </c>
      <c r="AB9" s="2">
        <f t="shared" si="21"/>
        <v>0.19692629104535</v>
      </c>
      <c r="AC9" s="2">
        <f t="shared" si="22"/>
        <v>1.36020816713285</v>
      </c>
      <c r="AD9" s="2">
        <f t="shared" si="23"/>
        <v>0.078356177338</v>
      </c>
      <c r="AE9" s="2">
        <f t="shared" si="24"/>
        <v>0.152617117485202</v>
      </c>
      <c r="AF9" s="2">
        <f t="shared" si="25"/>
        <v>0.109354898941405</v>
      </c>
      <c r="AG9" s="7">
        <f t="shared" si="26"/>
        <v>0.115978220622827</v>
      </c>
      <c r="AH9" s="2">
        <f t="shared" si="27"/>
        <v>30.7637752103121</v>
      </c>
      <c r="AI9" s="2">
        <f t="shared" si="28"/>
        <v>0.360208167132847</v>
      </c>
      <c r="AJ9" s="2">
        <f t="shared" si="29"/>
        <v>0.234465204587894</v>
      </c>
      <c r="AK9" s="2">
        <f t="shared" si="30"/>
        <v>0.131491778803268</v>
      </c>
      <c r="AL9" s="2">
        <f t="shared" si="31"/>
        <v>0.134973138112569</v>
      </c>
      <c r="AM9" s="2">
        <f t="shared" si="32"/>
        <v>3.02029287997586</v>
      </c>
      <c r="AN9" s="2">
        <f t="shared" si="33"/>
        <v>0.1195641212853</v>
      </c>
      <c r="AO9" s="2">
        <f t="shared" si="34"/>
        <v>0.378971422444638</v>
      </c>
      <c r="AP9" s="2">
        <f t="shared" si="35"/>
        <v>2.22046371500788</v>
      </c>
      <c r="AQ9" s="2">
        <f t="shared" si="36"/>
        <v>0.1182201710597</v>
      </c>
      <c r="AR9" s="2">
        <f t="shared" si="37"/>
        <v>0.373122202403153</v>
      </c>
      <c r="AS9" s="2">
        <f t="shared" si="38"/>
        <v>0.655348581963222</v>
      </c>
      <c r="AT9" s="2">
        <f t="shared" si="39"/>
        <v>0.162078911376733</v>
      </c>
      <c r="AU9" s="2">
        <f t="shared" si="40"/>
        <v>0.355019993698761</v>
      </c>
      <c r="AV9" s="2">
        <f t="shared" si="41"/>
        <v>0.160236981651198</v>
      </c>
      <c r="AW9" s="2">
        <f t="shared" si="42"/>
        <v>0.483962614789935</v>
      </c>
      <c r="AX9" s="2">
        <f t="shared" si="43"/>
        <v>-0.0398639937217</v>
      </c>
      <c r="AY9" s="7">
        <f t="shared" si="44"/>
        <v>1.00683678497721</v>
      </c>
      <c r="AZ9" s="2">
        <f t="shared" si="45"/>
        <v>0.105530641289784</v>
      </c>
      <c r="BA9" s="2">
        <f t="shared" si="46"/>
        <v>0.879858397843824</v>
      </c>
      <c r="BB9" s="2">
        <f t="shared" si="47"/>
        <v>0.0531037614493166</v>
      </c>
      <c r="BC9" s="2">
        <f t="shared" si="48"/>
        <v>0.719989393681268</v>
      </c>
      <c r="BD9" s="2">
        <f t="shared" si="49"/>
        <v>0.0735408480367293</v>
      </c>
      <c r="BE9" s="2">
        <f t="shared" si="50"/>
        <v>-0.071590571486412</v>
      </c>
      <c r="BF9" s="2">
        <f t="shared" si="51"/>
        <v>0.306821019384481</v>
      </c>
    </row>
    <row r="10" s="2" customFormat="1" spans="1:58">
      <c r="A10" s="5">
        <v>184.5</v>
      </c>
      <c r="B10" s="6">
        <v>0.0539720115989</v>
      </c>
      <c r="C10" s="6">
        <v>0.0958687128346</v>
      </c>
      <c r="D10" s="6">
        <v>0.0936184397021</v>
      </c>
      <c r="E10" s="6">
        <v>0.21125690909</v>
      </c>
      <c r="F10" s="6">
        <v>0.291322578342</v>
      </c>
      <c r="G10" s="2">
        <f t="shared" si="0"/>
        <v>3.03876593028439</v>
      </c>
      <c r="H10" s="2">
        <f t="shared" si="1"/>
        <v>0.1954538655074</v>
      </c>
      <c r="I10" s="2">
        <f t="shared" si="2"/>
        <v>0.504799229635184</v>
      </c>
      <c r="J10" s="2">
        <f t="shared" si="3"/>
        <v>-0.465575201228469</v>
      </c>
      <c r="K10" s="2">
        <f t="shared" si="4"/>
        <v>2.03876593028439</v>
      </c>
      <c r="L10" s="2">
        <f t="shared" si="5"/>
        <v>1.0144789160027</v>
      </c>
      <c r="M10" s="2">
        <f t="shared" si="6"/>
        <v>0.330459508763078</v>
      </c>
      <c r="N10" s="2">
        <f t="shared" si="7"/>
        <v>0.306262074921003</v>
      </c>
      <c r="O10" s="2">
        <f t="shared" si="8"/>
        <v>0.414345929192448</v>
      </c>
      <c r="P10" s="2">
        <f t="shared" si="9"/>
        <v>0.314109790896996</v>
      </c>
      <c r="Q10" s="2">
        <f t="shared" si="10"/>
        <v>0.513595926057561</v>
      </c>
      <c r="R10" s="2">
        <f t="shared" si="11"/>
        <v>3.11180766597913</v>
      </c>
      <c r="S10" s="2">
        <f t="shared" si="12"/>
        <v>0.420847015050213</v>
      </c>
      <c r="T10" s="2">
        <f t="shared" si="13"/>
        <v>-0.456222048087295</v>
      </c>
      <c r="U10" s="2">
        <f t="shared" si="14"/>
        <v>0.335114094513666</v>
      </c>
      <c r="V10" s="2">
        <f t="shared" si="15"/>
        <v>0.310923634011321</v>
      </c>
      <c r="W10" s="2">
        <f t="shared" si="16"/>
        <v>0.1977041386399</v>
      </c>
      <c r="X10" s="2">
        <f t="shared" si="17"/>
        <v>0.318653479771008</v>
      </c>
      <c r="Y10" s="2">
        <f t="shared" si="18"/>
        <v>1.00677501263071</v>
      </c>
      <c r="Z10" s="2">
        <f t="shared" si="19"/>
        <v>0.764031651070675</v>
      </c>
      <c r="AA10" s="2">
        <f t="shared" si="20"/>
        <v>2.89368371243474</v>
      </c>
      <c r="AB10" s="2">
        <f t="shared" si="21"/>
        <v>0.19247050902205</v>
      </c>
      <c r="AC10" s="2">
        <f t="shared" si="22"/>
        <v>1.37899668984502</v>
      </c>
      <c r="AD10" s="2">
        <f t="shared" si="23"/>
        <v>0.080065669252</v>
      </c>
      <c r="AE10" s="2">
        <f t="shared" si="24"/>
        <v>0.159309464978578</v>
      </c>
      <c r="AF10" s="2">
        <f t="shared" si="25"/>
        <v>0.112939005359919</v>
      </c>
      <c r="AG10" s="7">
        <f t="shared" si="26"/>
        <v>0.119789508346734</v>
      </c>
      <c r="AH10" s="2">
        <f t="shared" si="27"/>
        <v>32.1356198405832</v>
      </c>
      <c r="AI10" s="2">
        <f t="shared" si="28"/>
        <v>0.378996689845018</v>
      </c>
      <c r="AJ10" s="2">
        <f t="shared" si="29"/>
        <v>0.245718863516544</v>
      </c>
      <c r="AK10" s="2">
        <f t="shared" si="30"/>
        <v>0.135713568960158</v>
      </c>
      <c r="AL10" s="2">
        <f t="shared" si="31"/>
        <v>0.140173636664011</v>
      </c>
      <c r="AM10" s="2">
        <f t="shared" si="32"/>
        <v>3.11180766597913</v>
      </c>
      <c r="AN10" s="2">
        <f t="shared" si="33"/>
        <v>0.1176384693879</v>
      </c>
      <c r="AO10" s="2">
        <f t="shared" si="34"/>
        <v>0.385857596732492</v>
      </c>
      <c r="AP10" s="2">
        <f t="shared" si="35"/>
        <v>2.2565737023842</v>
      </c>
      <c r="AQ10" s="2">
        <f t="shared" si="36"/>
        <v>0.1153881962554</v>
      </c>
      <c r="AR10" s="2">
        <f t="shared" si="37"/>
        <v>0.375703581916484</v>
      </c>
      <c r="AS10" s="2">
        <f t="shared" si="38"/>
        <v>0.680607879961377</v>
      </c>
      <c r="AT10" s="2">
        <f t="shared" si="39"/>
        <v>0.160195506966003</v>
      </c>
      <c r="AU10" s="2">
        <f t="shared" si="40"/>
        <v>0.353007844281073</v>
      </c>
      <c r="AV10" s="2">
        <f t="shared" si="41"/>
        <v>0.157025771881026</v>
      </c>
      <c r="AW10" s="2">
        <f t="shared" si="42"/>
        <v>0.488634000695669</v>
      </c>
      <c r="AX10" s="2">
        <f t="shared" si="43"/>
        <v>-0.0353225270034</v>
      </c>
      <c r="AY10" s="7">
        <f t="shared" si="44"/>
        <v>1.01151306538071</v>
      </c>
      <c r="AZ10" s="2">
        <f t="shared" si="45"/>
        <v>0.108793823418953</v>
      </c>
      <c r="BA10" s="2">
        <f t="shared" si="46"/>
        <v>0.87440899529424</v>
      </c>
      <c r="BB10" s="2">
        <f t="shared" si="47"/>
        <v>0.0565042461583104</v>
      </c>
      <c r="BC10" s="2">
        <f t="shared" si="48"/>
        <v>0.710456878962843</v>
      </c>
      <c r="BD10" s="2">
        <f t="shared" si="49"/>
        <v>0.0766169961041503</v>
      </c>
      <c r="BE10" s="2">
        <f t="shared" si="50"/>
        <v>-0.064711022435544</v>
      </c>
      <c r="BF10" s="2">
        <f t="shared" si="51"/>
        <v>0.315589754551944</v>
      </c>
    </row>
    <row r="11" s="2" customFormat="1" spans="1:58">
      <c r="A11" s="5">
        <v>161.5</v>
      </c>
      <c r="B11" s="6">
        <v>0.0747678857233</v>
      </c>
      <c r="C11" s="6">
        <v>0.129852735703</v>
      </c>
      <c r="D11" s="6">
        <v>0.138494365979</v>
      </c>
      <c r="E11" s="6">
        <v>0.240344292332</v>
      </c>
      <c r="F11" s="6">
        <v>0.299315079082</v>
      </c>
      <c r="G11" s="2">
        <f t="shared" si="0"/>
        <v>2.3050348339722</v>
      </c>
      <c r="H11" s="2">
        <f t="shared" si="1"/>
        <v>0.169462343379</v>
      </c>
      <c r="I11" s="2">
        <f t="shared" si="2"/>
        <v>0.394862656380455</v>
      </c>
      <c r="J11" s="2">
        <f t="shared" si="3"/>
        <v>-0.566656314629876</v>
      </c>
      <c r="K11" s="2">
        <f t="shared" si="4"/>
        <v>1.3050348339722</v>
      </c>
      <c r="L11" s="2">
        <f t="shared" si="5"/>
        <v>0.717850625974016</v>
      </c>
      <c r="M11" s="2">
        <f t="shared" si="6"/>
        <v>0.273571158001548</v>
      </c>
      <c r="N11" s="2">
        <f t="shared" si="7"/>
        <v>0.251610862474291</v>
      </c>
      <c r="O11" s="2">
        <f t="shared" si="8"/>
        <v>0.333650809475013</v>
      </c>
      <c r="P11" s="2">
        <f t="shared" si="9"/>
        <v>0.258678083847644</v>
      </c>
      <c r="Q11" s="2">
        <f t="shared" si="10"/>
        <v>0.367330387494479</v>
      </c>
      <c r="R11" s="2">
        <f t="shared" si="11"/>
        <v>2.16120762000806</v>
      </c>
      <c r="S11" s="2">
        <f t="shared" si="12"/>
        <v>0.312059350585276</v>
      </c>
      <c r="T11" s="2">
        <f t="shared" si="13"/>
        <v>-0.588127269288525</v>
      </c>
      <c r="U11" s="2">
        <f t="shared" si="14"/>
        <v>0.257228236423668</v>
      </c>
      <c r="V11" s="2">
        <f t="shared" si="15"/>
        <v>0.236053887944297</v>
      </c>
      <c r="W11" s="2">
        <f t="shared" si="16"/>
        <v>0.160820713103</v>
      </c>
      <c r="X11" s="2">
        <f t="shared" si="17"/>
        <v>0.243052123753864</v>
      </c>
      <c r="Y11" s="2">
        <f t="shared" si="18"/>
        <v>0.931305743295122</v>
      </c>
      <c r="Z11" s="2">
        <f t="shared" si="19"/>
        <v>0.470104628932261</v>
      </c>
      <c r="AA11" s="2">
        <f t="shared" si="20"/>
        <v>2.6846557764274</v>
      </c>
      <c r="AB11" s="2">
        <f t="shared" si="21"/>
        <v>0.2189047225305</v>
      </c>
      <c r="AC11" s="2">
        <f t="shared" si="22"/>
        <v>1.24535963046104</v>
      </c>
      <c r="AD11" s="2">
        <f t="shared" si="23"/>
        <v>0.05897078675</v>
      </c>
      <c r="AE11" s="2">
        <f t="shared" si="24"/>
        <v>0.109274090053299</v>
      </c>
      <c r="AF11" s="2">
        <f t="shared" si="25"/>
        <v>0.0802743985454477</v>
      </c>
      <c r="AG11" s="7">
        <f t="shared" si="26"/>
        <v>0.0850818860072355</v>
      </c>
      <c r="AH11" s="2">
        <f t="shared" si="27"/>
        <v>21.9424348012774</v>
      </c>
      <c r="AI11" s="2">
        <f t="shared" si="28"/>
        <v>0.245359630461041</v>
      </c>
      <c r="AJ11" s="2">
        <f t="shared" si="29"/>
        <v>0.163742023788775</v>
      </c>
      <c r="AK11" s="2">
        <f t="shared" si="30"/>
        <v>0.0943221254497457</v>
      </c>
      <c r="AL11" s="2">
        <f t="shared" si="31"/>
        <v>0.0977705944133248</v>
      </c>
      <c r="AM11" s="2">
        <f t="shared" si="32"/>
        <v>2.16120762000806</v>
      </c>
      <c r="AN11" s="2">
        <f t="shared" si="33"/>
        <v>0.101849926353</v>
      </c>
      <c r="AO11" s="2">
        <f t="shared" si="34"/>
        <v>0.268847764394172</v>
      </c>
      <c r="AP11" s="2">
        <f t="shared" si="35"/>
        <v>1.73540844519584</v>
      </c>
      <c r="AQ11" s="2">
        <f t="shared" si="36"/>
        <v>0.110491556629</v>
      </c>
      <c r="AR11" s="2">
        <f t="shared" si="37"/>
        <v>0.298466892658451</v>
      </c>
      <c r="AS11" s="2">
        <f t="shared" si="38"/>
        <v>0.578996852149054</v>
      </c>
      <c r="AT11" s="2">
        <f t="shared" si="39"/>
        <v>0.193951288292846</v>
      </c>
      <c r="AU11" s="2">
        <f t="shared" si="40"/>
        <v>0.358984236098361</v>
      </c>
      <c r="AV11" s="2">
        <f t="shared" si="41"/>
        <v>0.204222668611115</v>
      </c>
      <c r="AW11" s="2">
        <f t="shared" si="42"/>
        <v>0.441367587580724</v>
      </c>
      <c r="AX11" s="2">
        <f t="shared" si="43"/>
        <v>-0.051520769879</v>
      </c>
      <c r="AY11" s="7">
        <f t="shared" si="44"/>
        <v>0.949005601458767</v>
      </c>
      <c r="AZ11" s="2">
        <f t="shared" si="45"/>
        <v>0.0834105752385568</v>
      </c>
      <c r="BA11" s="2">
        <f t="shared" si="46"/>
        <v>1.13831690913002</v>
      </c>
      <c r="BB11" s="2">
        <f t="shared" si="47"/>
        <v>0.0312315249294702</v>
      </c>
      <c r="BC11" s="2">
        <f t="shared" si="48"/>
        <v>0.715354611908589</v>
      </c>
      <c r="BD11" s="2">
        <f t="shared" si="49"/>
        <v>0.0567445859457401</v>
      </c>
      <c r="BE11" s="2">
        <f t="shared" si="50"/>
        <v>-0.08744889542124</v>
      </c>
      <c r="BF11" s="2">
        <f t="shared" si="51"/>
        <v>0.276739489763276</v>
      </c>
    </row>
    <row r="12" s="2" customFormat="1" spans="1:58">
      <c r="A12" s="5">
        <v>159.5</v>
      </c>
      <c r="B12" s="6">
        <v>0.0775876131851</v>
      </c>
      <c r="C12" s="6">
        <v>0.131159615376</v>
      </c>
      <c r="D12" s="6">
        <v>0.147585707306</v>
      </c>
      <c r="E12" s="6">
        <v>0.233203135745</v>
      </c>
      <c r="F12" s="6">
        <v>0.284348956956</v>
      </c>
      <c r="G12" s="2">
        <f t="shared" si="0"/>
        <v>2.16796119858118</v>
      </c>
      <c r="H12" s="2">
        <f t="shared" si="1"/>
        <v>0.15318934158</v>
      </c>
      <c r="I12" s="2">
        <f t="shared" si="2"/>
        <v>0.368679136317791</v>
      </c>
      <c r="J12" s="2">
        <f t="shared" si="3"/>
        <v>-0.587105914991237</v>
      </c>
      <c r="K12" s="2">
        <f t="shared" si="4"/>
        <v>1.16796119858118</v>
      </c>
      <c r="L12" s="2">
        <f t="shared" si="5"/>
        <v>0.656203418114842</v>
      </c>
      <c r="M12" s="2">
        <f t="shared" si="6"/>
        <v>0.250990563403126</v>
      </c>
      <c r="N12" s="2">
        <f t="shared" si="7"/>
        <v>0.228629060679139</v>
      </c>
      <c r="O12" s="2">
        <f t="shared" si="8"/>
        <v>0.308769746926182</v>
      </c>
      <c r="P12" s="2">
        <f t="shared" si="9"/>
        <v>0.237650403211956</v>
      </c>
      <c r="Q12" s="2">
        <f t="shared" si="10"/>
        <v>0.316629483497632</v>
      </c>
      <c r="R12" s="2">
        <f t="shared" si="11"/>
        <v>1.92667001531821</v>
      </c>
      <c r="S12" s="2">
        <f t="shared" si="12"/>
        <v>0.268011622180959</v>
      </c>
      <c r="T12" s="2">
        <f t="shared" si="13"/>
        <v>-0.624430918812238</v>
      </c>
      <c r="U12" s="2">
        <f t="shared" si="14"/>
        <v>0.220127957830021</v>
      </c>
      <c r="V12" s="2">
        <f t="shared" si="15"/>
        <v>0.199817702891715</v>
      </c>
      <c r="W12" s="2">
        <f t="shared" si="16"/>
        <v>0.13676324965</v>
      </c>
      <c r="X12" s="2">
        <f t="shared" si="17"/>
        <v>0.208094394682166</v>
      </c>
      <c r="Y12" s="2">
        <f t="shared" si="18"/>
        <v>0.90367554105311</v>
      </c>
      <c r="Z12" s="2">
        <f t="shared" si="19"/>
        <v>0.388045393824788</v>
      </c>
      <c r="AA12" s="2">
        <f t="shared" si="20"/>
        <v>2.62261757327193</v>
      </c>
      <c r="AB12" s="2">
        <f t="shared" si="21"/>
        <v>0.215967332131</v>
      </c>
      <c r="AC12" s="2">
        <f t="shared" si="22"/>
        <v>1.21931875421661</v>
      </c>
      <c r="AD12" s="2">
        <f t="shared" si="23"/>
        <v>0.051145821211</v>
      </c>
      <c r="AE12" s="2">
        <f t="shared" si="24"/>
        <v>0.0988225570571655</v>
      </c>
      <c r="AF12" s="2">
        <f t="shared" si="25"/>
        <v>0.0710940281237435</v>
      </c>
      <c r="AG12" s="7">
        <f t="shared" si="26"/>
        <v>0.0753953850292392</v>
      </c>
      <c r="AH12" s="2">
        <f t="shared" si="27"/>
        <v>19.829230459973</v>
      </c>
      <c r="AI12" s="2">
        <f t="shared" si="28"/>
        <v>0.219318754216608</v>
      </c>
      <c r="AJ12" s="2">
        <f t="shared" si="29"/>
        <v>0.14721970011611</v>
      </c>
      <c r="AK12" s="2">
        <f t="shared" si="30"/>
        <v>0.0823220068514713</v>
      </c>
      <c r="AL12" s="2">
        <f t="shared" si="31"/>
        <v>0.0875639721932666</v>
      </c>
      <c r="AM12" s="2">
        <f t="shared" si="32"/>
        <v>1.92667001531821</v>
      </c>
      <c r="AN12" s="2">
        <f t="shared" si="33"/>
        <v>0.085617428439</v>
      </c>
      <c r="AO12" s="2">
        <f t="shared" si="34"/>
        <v>0.224842271514591</v>
      </c>
      <c r="AP12" s="2">
        <f t="shared" si="35"/>
        <v>1.58012005364099</v>
      </c>
      <c r="AQ12" s="2">
        <f t="shared" si="36"/>
        <v>0.102043520369</v>
      </c>
      <c r="AR12" s="2">
        <f t="shared" si="37"/>
        <v>0.280060242313608</v>
      </c>
      <c r="AS12" s="2">
        <f t="shared" si="38"/>
        <v>0.597376283585064</v>
      </c>
      <c r="AT12" s="2">
        <f t="shared" si="39"/>
        <v>0.202184751320122</v>
      </c>
      <c r="AU12" s="2">
        <f t="shared" si="40"/>
        <v>0.359486552873067</v>
      </c>
      <c r="AV12" s="2">
        <f t="shared" si="41"/>
        <v>0.22188741536633</v>
      </c>
      <c r="AW12" s="2">
        <f t="shared" si="42"/>
        <v>0.427503829962765</v>
      </c>
      <c r="AX12" s="2">
        <f t="shared" si="43"/>
        <v>-0.050897699158</v>
      </c>
      <c r="AY12" s="7">
        <f t="shared" si="44"/>
        <v>0.892772618769813</v>
      </c>
      <c r="AZ12" s="2">
        <f t="shared" si="45"/>
        <v>0.0752201660568736</v>
      </c>
      <c r="BA12" s="2">
        <f t="shared" si="46"/>
        <v>1.2281531836039</v>
      </c>
      <c r="BB12" s="2">
        <f t="shared" si="47"/>
        <v>0.0250057315754643</v>
      </c>
      <c r="BC12" s="2">
        <f t="shared" si="48"/>
        <v>0.675807404251736</v>
      </c>
      <c r="BD12" s="2">
        <f t="shared" si="49"/>
        <v>0.0533826665214882</v>
      </c>
      <c r="BE12" s="2">
        <f t="shared" si="50"/>
        <v>-0.0855379092318001</v>
      </c>
      <c r="BF12" s="2">
        <f t="shared" si="51"/>
        <v>0.268044885979073</v>
      </c>
    </row>
    <row r="13" s="2" customFormat="1" spans="1:58">
      <c r="A13" s="5">
        <v>146.5</v>
      </c>
      <c r="B13" s="6">
        <v>0.0812905866584</v>
      </c>
      <c r="C13" s="6">
        <v>0.135808835599</v>
      </c>
      <c r="D13" s="6">
        <v>0.154722875129</v>
      </c>
      <c r="E13" s="6">
        <v>0.232468226143</v>
      </c>
      <c r="F13" s="6">
        <v>0.27860671081</v>
      </c>
      <c r="G13" s="2">
        <f t="shared" si="0"/>
        <v>2.05146233366315</v>
      </c>
      <c r="H13" s="2">
        <f t="shared" si="1"/>
        <v>0.142797875211</v>
      </c>
      <c r="I13" s="2">
        <f t="shared" si="2"/>
        <v>0.344576540258623</v>
      </c>
      <c r="J13" s="2">
        <f t="shared" si="3"/>
        <v>-0.604910409516708</v>
      </c>
      <c r="K13" s="2">
        <f t="shared" si="4"/>
        <v>1.05146233366315</v>
      </c>
      <c r="L13" s="2">
        <f t="shared" si="5"/>
        <v>0.60192130145552</v>
      </c>
      <c r="M13" s="2">
        <f t="shared" si="6"/>
        <v>0.234244500388988</v>
      </c>
      <c r="N13" s="2">
        <f t="shared" si="7"/>
        <v>0.212362364527967</v>
      </c>
      <c r="O13" s="2">
        <f t="shared" si="8"/>
        <v>0.288372305172283</v>
      </c>
      <c r="P13" s="2">
        <f t="shared" si="9"/>
        <v>0.221821544933059</v>
      </c>
      <c r="Q13" s="2">
        <f t="shared" si="10"/>
        <v>0.2858882469623</v>
      </c>
      <c r="R13" s="2">
        <f t="shared" si="11"/>
        <v>1.80068209421336</v>
      </c>
      <c r="S13" s="2">
        <f t="shared" si="12"/>
        <v>0.24220138822596</v>
      </c>
      <c r="T13" s="2">
        <f t="shared" si="13"/>
        <v>-0.644626139147435</v>
      </c>
      <c r="U13" s="2">
        <f t="shared" si="14"/>
        <v>0.199099821028973</v>
      </c>
      <c r="V13" s="2">
        <f t="shared" si="15"/>
        <v>0.179890802589443</v>
      </c>
      <c r="W13" s="2">
        <f t="shared" si="16"/>
        <v>0.123883835681</v>
      </c>
      <c r="X13" s="2">
        <f t="shared" si="17"/>
        <v>0.188193869745554</v>
      </c>
      <c r="Y13" s="2">
        <f t="shared" si="18"/>
        <v>0.886503382374991</v>
      </c>
      <c r="Z13" s="2">
        <f t="shared" si="19"/>
        <v>0.341894963927267</v>
      </c>
      <c r="AA13" s="2">
        <f t="shared" si="20"/>
        <v>2.58391327376826</v>
      </c>
      <c r="AB13" s="2">
        <f t="shared" si="21"/>
        <v>0.2166647929695</v>
      </c>
      <c r="AC13" s="2">
        <f t="shared" si="22"/>
        <v>1.1984722189028</v>
      </c>
      <c r="AD13" s="2">
        <f t="shared" si="23"/>
        <v>0.046138484667</v>
      </c>
      <c r="AE13" s="2">
        <f t="shared" si="24"/>
        <v>0.0902773376876492</v>
      </c>
      <c r="AF13" s="2">
        <f t="shared" si="25"/>
        <v>0.0645388221203268</v>
      </c>
      <c r="AG13" s="7">
        <f t="shared" si="26"/>
        <v>0.0684496514264967</v>
      </c>
      <c r="AH13" s="2">
        <f t="shared" si="27"/>
        <v>18.1047594734453</v>
      </c>
      <c r="AI13" s="2">
        <f t="shared" si="28"/>
        <v>0.198472218902804</v>
      </c>
      <c r="AJ13" s="2">
        <f t="shared" si="29"/>
        <v>0.133856428786612</v>
      </c>
      <c r="AK13" s="2">
        <f t="shared" si="30"/>
        <v>0.0741514337948173</v>
      </c>
      <c r="AL13" s="2">
        <f t="shared" si="31"/>
        <v>0.0797536001817162</v>
      </c>
      <c r="AM13" s="2">
        <f t="shared" si="32"/>
        <v>1.80068209421336</v>
      </c>
      <c r="AN13" s="2">
        <f t="shared" si="33"/>
        <v>0.077745351014</v>
      </c>
      <c r="AO13" s="2">
        <f t="shared" si="34"/>
        <v>0.200793227836567</v>
      </c>
      <c r="AP13" s="2">
        <f t="shared" si="35"/>
        <v>1.50248129728187</v>
      </c>
      <c r="AQ13" s="2">
        <f t="shared" si="36"/>
        <v>0.096659390544</v>
      </c>
      <c r="AR13" s="2">
        <f t="shared" si="37"/>
        <v>0.262463782258901</v>
      </c>
      <c r="AS13" s="2">
        <f t="shared" si="38"/>
        <v>0.593456509813578</v>
      </c>
      <c r="AT13" s="2">
        <f t="shared" si="39"/>
        <v>0.209943178916399</v>
      </c>
      <c r="AU13" s="2">
        <f t="shared" si="40"/>
        <v>0.359366297327103</v>
      </c>
      <c r="AV13" s="2">
        <f t="shared" si="41"/>
        <v>0.232387178691936</v>
      </c>
      <c r="AW13" s="2">
        <f t="shared" si="42"/>
        <v>0.41845543159533</v>
      </c>
      <c r="AX13" s="2">
        <f t="shared" si="43"/>
        <v>-0.050520905877</v>
      </c>
      <c r="AY13" s="7">
        <f t="shared" si="44"/>
        <v>0.867546771952647</v>
      </c>
      <c r="AZ13" s="2">
        <f t="shared" si="45"/>
        <v>0.0697019219631995</v>
      </c>
      <c r="BA13" s="2">
        <f t="shared" si="46"/>
        <v>1.32698481653136</v>
      </c>
      <c r="BB13" s="2">
        <f t="shared" si="47"/>
        <v>0.0210678348239259</v>
      </c>
      <c r="BC13" s="2">
        <f t="shared" si="48"/>
        <v>0.65932447742531</v>
      </c>
      <c r="BD13" s="2">
        <f t="shared" si="49"/>
        <v>0.0493326527401209</v>
      </c>
      <c r="BE13" s="2">
        <f t="shared" si="50"/>
        <v>-0.08434923132816</v>
      </c>
      <c r="BF13" s="2">
        <f t="shared" si="51"/>
        <v>0.261995020380352</v>
      </c>
    </row>
    <row r="14" s="2" customFormat="1" spans="1:58">
      <c r="A14" s="5">
        <v>189.5</v>
      </c>
      <c r="B14" s="6">
        <v>0.0536530392596</v>
      </c>
      <c r="C14" s="6">
        <v>0.0966771961704</v>
      </c>
      <c r="D14" s="6">
        <v>0.0946038347593</v>
      </c>
      <c r="E14" s="6">
        <v>0.220585434433</v>
      </c>
      <c r="F14" s="6">
        <v>0.311845032988</v>
      </c>
      <c r="G14" s="2">
        <f t="shared" si="0"/>
        <v>3.22563174503274</v>
      </c>
      <c r="H14" s="2">
        <f t="shared" si="1"/>
        <v>0.2151678368176</v>
      </c>
      <c r="I14" s="2">
        <f t="shared" si="2"/>
        <v>0.526697989631725</v>
      </c>
      <c r="J14" s="2">
        <f t="shared" si="3"/>
        <v>-0.441882257941954</v>
      </c>
      <c r="K14" s="2">
        <f t="shared" si="4"/>
        <v>2.22563174503274</v>
      </c>
      <c r="L14" s="2">
        <f t="shared" si="5"/>
        <v>1.08269837247928</v>
      </c>
      <c r="M14" s="2">
        <f t="shared" si="6"/>
        <v>0.35524915612178</v>
      </c>
      <c r="N14" s="2">
        <f t="shared" si="7"/>
        <v>0.33355988378087</v>
      </c>
      <c r="O14" s="2">
        <f t="shared" si="8"/>
        <v>0.439023626354766</v>
      </c>
      <c r="P14" s="2">
        <f t="shared" si="9"/>
        <v>0.336642937079091</v>
      </c>
      <c r="Q14" s="2">
        <f t="shared" si="10"/>
        <v>0.534485922996259</v>
      </c>
      <c r="R14" s="2">
        <f t="shared" si="11"/>
        <v>3.29632550077305</v>
      </c>
      <c r="S14" s="2">
        <f t="shared" si="12"/>
        <v>0.444876500411176</v>
      </c>
      <c r="T14" s="2">
        <f t="shared" si="13"/>
        <v>-0.433117420245229</v>
      </c>
      <c r="U14" s="2">
        <f t="shared" si="14"/>
        <v>0.359492751260068</v>
      </c>
      <c r="V14" s="2">
        <f t="shared" si="15"/>
        <v>0.337914699363018</v>
      </c>
      <c r="W14" s="2">
        <f t="shared" si="16"/>
        <v>0.2172411982287</v>
      </c>
      <c r="X14" s="2">
        <f t="shared" si="17"/>
        <v>0.34075264099942</v>
      </c>
      <c r="Y14" s="2">
        <f t="shared" si="18"/>
        <v>1.01709681102453</v>
      </c>
      <c r="Z14" s="2">
        <f t="shared" si="19"/>
        <v>0.815578558138712</v>
      </c>
      <c r="AA14" s="2">
        <f t="shared" si="20"/>
        <v>2.9214054678336</v>
      </c>
      <c r="AB14" s="2">
        <f t="shared" si="21"/>
        <v>0.20322443387365</v>
      </c>
      <c r="AC14" s="2">
        <f t="shared" si="22"/>
        <v>1.41371543315893</v>
      </c>
      <c r="AD14" s="2">
        <f t="shared" si="23"/>
        <v>0.091259598555</v>
      </c>
      <c r="AE14" s="2">
        <f t="shared" si="24"/>
        <v>0.17140190905499</v>
      </c>
      <c r="AF14" s="2">
        <f t="shared" si="25"/>
        <v>0.125068259010506</v>
      </c>
      <c r="AG14" s="7">
        <f t="shared" si="26"/>
        <v>0.13258945967998</v>
      </c>
      <c r="AH14" s="2">
        <f t="shared" si="27"/>
        <v>34.6221297686983</v>
      </c>
      <c r="AI14" s="2">
        <f t="shared" si="28"/>
        <v>0.413715433158933</v>
      </c>
      <c r="AJ14" s="2">
        <f t="shared" si="29"/>
        <v>0.266292348836675</v>
      </c>
      <c r="AK14" s="2">
        <f t="shared" si="30"/>
        <v>0.151017230759741</v>
      </c>
      <c r="AL14" s="2">
        <f t="shared" si="31"/>
        <v>0.152883414732004</v>
      </c>
      <c r="AM14" s="2">
        <f t="shared" si="32"/>
        <v>3.29632550077305</v>
      </c>
      <c r="AN14" s="2">
        <f t="shared" si="33"/>
        <v>0.1259815996737</v>
      </c>
      <c r="AO14" s="2">
        <f t="shared" si="34"/>
        <v>0.399701423835078</v>
      </c>
      <c r="AP14" s="2">
        <f t="shared" si="35"/>
        <v>2.3316754018929</v>
      </c>
      <c r="AQ14" s="2">
        <f t="shared" si="36"/>
        <v>0.1239082382626</v>
      </c>
      <c r="AR14" s="2">
        <f t="shared" si="37"/>
        <v>0.390554153910089</v>
      </c>
      <c r="AS14" s="2">
        <f t="shared" si="38"/>
        <v>0.724388313780488</v>
      </c>
      <c r="AT14" s="2">
        <f t="shared" si="39"/>
        <v>0.153673531202111</v>
      </c>
      <c r="AU14" s="2">
        <f t="shared" si="40"/>
        <v>0.350632248181081</v>
      </c>
      <c r="AV14" s="2">
        <f t="shared" si="41"/>
        <v>0.150875054889895</v>
      </c>
      <c r="AW14" s="2">
        <f t="shared" si="42"/>
        <v>0.497333290864095</v>
      </c>
      <c r="AX14" s="2">
        <f t="shared" si="43"/>
        <v>-0.0326486397076</v>
      </c>
      <c r="AY14" s="7">
        <f t="shared" si="44"/>
        <v>1.00963601922</v>
      </c>
      <c r="AZ14" s="2">
        <f t="shared" si="45"/>
        <v>0.119432311197601</v>
      </c>
      <c r="BA14" s="2">
        <f t="shared" si="46"/>
        <v>0.839380928980264</v>
      </c>
      <c r="BB14" s="2">
        <f t="shared" si="47"/>
        <v>0.0681778845753993</v>
      </c>
      <c r="BC14" s="2">
        <f t="shared" si="48"/>
        <v>0.765156915781973</v>
      </c>
      <c r="BD14" s="2">
        <f t="shared" si="49"/>
        <v>0.0895084548726886</v>
      </c>
      <c r="BE14" s="2">
        <f t="shared" si="50"/>
        <v>-0.061883029770456</v>
      </c>
      <c r="BF14" s="2">
        <f t="shared" si="51"/>
        <v>0.325427308304018</v>
      </c>
    </row>
    <row r="15" s="2" customFormat="1" spans="1:58">
      <c r="A15" s="5">
        <v>203.5</v>
      </c>
      <c r="B15" s="6">
        <v>0.0389455457412</v>
      </c>
      <c r="C15" s="6">
        <v>0.0755041857538</v>
      </c>
      <c r="D15" s="6">
        <v>0.0631949470155</v>
      </c>
      <c r="E15" s="6">
        <v>0.207596046343</v>
      </c>
      <c r="F15" s="6">
        <v>0.320417206591</v>
      </c>
      <c r="G15" s="2">
        <f t="shared" si="0"/>
        <v>4.24370123844258</v>
      </c>
      <c r="H15" s="2">
        <f t="shared" si="1"/>
        <v>0.2449130208372</v>
      </c>
      <c r="I15" s="2">
        <f t="shared" si="2"/>
        <v>0.618590017040327</v>
      </c>
      <c r="J15" s="2">
        <f t="shared" si="3"/>
        <v>-0.325166641751012</v>
      </c>
      <c r="K15" s="2">
        <f t="shared" si="4"/>
        <v>3.24370123844258</v>
      </c>
      <c r="L15" s="2">
        <f t="shared" si="5"/>
        <v>1.41651727993764</v>
      </c>
      <c r="M15" s="2">
        <f t="shared" si="6"/>
        <v>0.410046611672395</v>
      </c>
      <c r="N15" s="2">
        <f t="shared" si="7"/>
        <v>0.392330356528796</v>
      </c>
      <c r="O15" s="2">
        <f t="shared" si="8"/>
        <v>0.511041863262108</v>
      </c>
      <c r="P15" s="2">
        <f t="shared" si="9"/>
        <v>0.389230972217116</v>
      </c>
      <c r="Q15" s="2">
        <f t="shared" si="10"/>
        <v>0.670526877621694</v>
      </c>
      <c r="R15" s="2">
        <f t="shared" si="11"/>
        <v>5.07029789126036</v>
      </c>
      <c r="S15" s="2">
        <f t="shared" si="12"/>
        <v>0.548879967322372</v>
      </c>
      <c r="T15" s="2">
        <f t="shared" si="13"/>
        <v>-0.243444137442828</v>
      </c>
      <c r="U15" s="2">
        <f t="shared" si="14"/>
        <v>0.436654688132632</v>
      </c>
      <c r="V15" s="2">
        <f t="shared" si="15"/>
        <v>0.422120993051906</v>
      </c>
      <c r="W15" s="2">
        <f t="shared" si="16"/>
        <v>0.2572222595755</v>
      </c>
      <c r="X15" s="2">
        <f t="shared" si="17"/>
        <v>0.415300419657814</v>
      </c>
      <c r="Y15" s="2">
        <f t="shared" si="18"/>
        <v>1.08190890449321</v>
      </c>
      <c r="Z15" s="2">
        <f t="shared" si="19"/>
        <v>1.25173219794459</v>
      </c>
      <c r="AA15" s="2">
        <f t="shared" si="20"/>
        <v>3.11551668504074</v>
      </c>
      <c r="AB15" s="2">
        <f t="shared" si="21"/>
        <v>0.19180607680325</v>
      </c>
      <c r="AC15" s="2">
        <f t="shared" si="22"/>
        <v>1.54346487919906</v>
      </c>
      <c r="AD15" s="2">
        <f t="shared" si="23"/>
        <v>0.112821160248</v>
      </c>
      <c r="AE15" s="2">
        <f t="shared" si="24"/>
        <v>0.213671076665385</v>
      </c>
      <c r="AF15" s="2">
        <f t="shared" si="25"/>
        <v>0.155263063156786</v>
      </c>
      <c r="AG15" s="7">
        <f t="shared" si="26"/>
        <v>0.164620193260159</v>
      </c>
      <c r="AH15" s="2">
        <f t="shared" si="27"/>
        <v>43.4029810699941</v>
      </c>
      <c r="AI15" s="2">
        <f t="shared" si="28"/>
        <v>0.543464879199055</v>
      </c>
      <c r="AJ15" s="2">
        <f t="shared" si="29"/>
        <v>0.340767847468457</v>
      </c>
      <c r="AK15" s="2">
        <f t="shared" si="30"/>
        <v>0.19152264902794</v>
      </c>
      <c r="AL15" s="2">
        <f t="shared" si="31"/>
        <v>0.190218059506238</v>
      </c>
      <c r="AM15" s="2">
        <f t="shared" si="32"/>
        <v>5.07029789126036</v>
      </c>
      <c r="AN15" s="2">
        <f t="shared" si="33"/>
        <v>0.1444010993275</v>
      </c>
      <c r="AO15" s="2">
        <f t="shared" si="34"/>
        <v>0.533256655018535</v>
      </c>
      <c r="AP15" s="2">
        <f t="shared" si="35"/>
        <v>3.28501021279569</v>
      </c>
      <c r="AQ15" s="2">
        <f t="shared" si="36"/>
        <v>0.1320918605892</v>
      </c>
      <c r="AR15" s="2">
        <f t="shared" si="37"/>
        <v>0.466590435517672</v>
      </c>
      <c r="AS15" s="2">
        <f t="shared" si="38"/>
        <v>0.781304025893341</v>
      </c>
      <c r="AT15" s="2">
        <f t="shared" si="39"/>
        <v>0.125106883270789</v>
      </c>
      <c r="AU15" s="2">
        <f t="shared" si="40"/>
        <v>0.343976881255273</v>
      </c>
      <c r="AV15" s="2">
        <f t="shared" si="41"/>
        <v>0.106891188283414</v>
      </c>
      <c r="AW15" s="2">
        <f t="shared" si="42"/>
        <v>0.541970166547706</v>
      </c>
      <c r="AX15" s="2">
        <f t="shared" si="43"/>
        <v>-0.0192707003412</v>
      </c>
      <c r="AY15" s="7">
        <f t="shared" si="44"/>
        <v>1.05025963379253</v>
      </c>
      <c r="AZ15" s="2">
        <f t="shared" si="45"/>
        <v>0.141046754590089</v>
      </c>
      <c r="BA15" s="2">
        <f t="shared" si="46"/>
        <v>0.699804020460954</v>
      </c>
      <c r="BB15" s="2">
        <f t="shared" si="47"/>
        <v>0.0985325692491237</v>
      </c>
      <c r="BC15" s="2">
        <f t="shared" si="48"/>
        <v>0.7982871145113</v>
      </c>
      <c r="BD15" s="2">
        <f t="shared" si="49"/>
        <v>0.100255366462196</v>
      </c>
      <c r="BE15" s="2">
        <f t="shared" si="50"/>
        <v>-0.043600831762032</v>
      </c>
      <c r="BF15" s="2">
        <f t="shared" si="51"/>
        <v>0.345416302849024</v>
      </c>
    </row>
    <row r="16" s="2" customFormat="1" spans="1:58">
      <c r="A16" s="5">
        <v>189.5</v>
      </c>
      <c r="B16" s="6">
        <v>0.0508828408464</v>
      </c>
      <c r="C16" s="6">
        <v>0.0931016267018</v>
      </c>
      <c r="D16" s="6">
        <v>0.0888573690988</v>
      </c>
      <c r="E16" s="6">
        <v>0.218297789273</v>
      </c>
      <c r="F16" s="6">
        <v>0.314086055808</v>
      </c>
      <c r="G16" s="2">
        <f t="shared" si="0"/>
        <v>3.37358290004967</v>
      </c>
      <c r="H16" s="2">
        <f t="shared" si="1"/>
        <v>0.2209844291062</v>
      </c>
      <c r="I16" s="2">
        <f t="shared" si="2"/>
        <v>0.542709022395051</v>
      </c>
      <c r="J16" s="2">
        <f t="shared" si="3"/>
        <v>-0.423659854944604</v>
      </c>
      <c r="K16" s="2">
        <f t="shared" si="4"/>
        <v>2.37358290004967</v>
      </c>
      <c r="L16" s="2">
        <f t="shared" si="5"/>
        <v>1.13497350421037</v>
      </c>
      <c r="M16" s="2">
        <f t="shared" si="6"/>
        <v>0.365389268450213</v>
      </c>
      <c r="N16" s="2">
        <f t="shared" si="7"/>
        <v>0.344227302512261</v>
      </c>
      <c r="O16" s="2">
        <f t="shared" si="8"/>
        <v>0.451952582307291</v>
      </c>
      <c r="P16" s="2">
        <f t="shared" si="9"/>
        <v>0.346309462020249</v>
      </c>
      <c r="Q16" s="2">
        <f t="shared" si="10"/>
        <v>0.558958585218992</v>
      </c>
      <c r="R16" s="2">
        <f t="shared" si="11"/>
        <v>3.53472153174791</v>
      </c>
      <c r="S16" s="2">
        <f t="shared" si="12"/>
        <v>0.46410574317646</v>
      </c>
      <c r="T16" s="2">
        <f t="shared" si="13"/>
        <v>-0.404330099256966</v>
      </c>
      <c r="U16" s="2">
        <f t="shared" si="14"/>
        <v>0.374157472932118</v>
      </c>
      <c r="V16" s="2">
        <f t="shared" si="15"/>
        <v>0.353348893379543</v>
      </c>
      <c r="W16" s="2">
        <f t="shared" si="16"/>
        <v>0.2252286867092</v>
      </c>
      <c r="X16" s="2">
        <f t="shared" si="17"/>
        <v>0.35481475177014</v>
      </c>
      <c r="Y16" s="2">
        <f t="shared" si="18"/>
        <v>1.02905713408877</v>
      </c>
      <c r="Z16" s="2">
        <f t="shared" si="19"/>
        <v>0.88008551181799</v>
      </c>
      <c r="AA16" s="2">
        <f t="shared" si="20"/>
        <v>2.95633439294175</v>
      </c>
      <c r="AB16" s="2">
        <f t="shared" si="21"/>
        <v>0.2014717124534</v>
      </c>
      <c r="AC16" s="2">
        <f t="shared" si="22"/>
        <v>1.4387963197154</v>
      </c>
      <c r="AD16" s="2">
        <f t="shared" si="23"/>
        <v>0.095788266535</v>
      </c>
      <c r="AE16" s="2">
        <f t="shared" si="24"/>
        <v>0.179923315517634</v>
      </c>
      <c r="AF16" s="2">
        <f t="shared" si="25"/>
        <v>0.131280396490352</v>
      </c>
      <c r="AG16" s="7">
        <f t="shared" si="26"/>
        <v>0.139175366301113</v>
      </c>
      <c r="AH16" s="2">
        <f t="shared" si="27"/>
        <v>36.3806874951294</v>
      </c>
      <c r="AI16" s="2">
        <f t="shared" si="28"/>
        <v>0.438796319715398</v>
      </c>
      <c r="AJ16" s="2">
        <f t="shared" si="29"/>
        <v>0.280979872375461</v>
      </c>
      <c r="AK16" s="2">
        <f t="shared" si="30"/>
        <v>0.159126691483833</v>
      </c>
      <c r="AL16" s="2">
        <f t="shared" si="31"/>
        <v>0.160480909498403</v>
      </c>
      <c r="AM16" s="2">
        <f t="shared" si="32"/>
        <v>3.53472153174791</v>
      </c>
      <c r="AN16" s="2">
        <f t="shared" si="33"/>
        <v>0.1294404201742</v>
      </c>
      <c r="AO16" s="2">
        <f t="shared" si="34"/>
        <v>0.42141704817966</v>
      </c>
      <c r="AP16" s="2">
        <f t="shared" si="35"/>
        <v>2.45672127688449</v>
      </c>
      <c r="AQ16" s="2">
        <f t="shared" si="36"/>
        <v>0.1251961625712</v>
      </c>
      <c r="AR16" s="2">
        <f t="shared" si="37"/>
        <v>0.402043665301323</v>
      </c>
      <c r="AS16" s="2">
        <f t="shared" si="38"/>
        <v>0.740018198381068</v>
      </c>
      <c r="AT16" s="2">
        <f t="shared" si="39"/>
        <v>0.148846985104923</v>
      </c>
      <c r="AU16" s="2">
        <f t="shared" si="40"/>
        <v>0.349005371221162</v>
      </c>
      <c r="AV16" s="2">
        <f t="shared" si="41"/>
        <v>0.143031993162454</v>
      </c>
      <c r="AW16" s="2">
        <f t="shared" si="42"/>
        <v>0.505578265960148</v>
      </c>
      <c r="AX16" s="2">
        <f t="shared" si="43"/>
        <v>-0.0294078960362</v>
      </c>
      <c r="AY16" s="7">
        <f t="shared" si="44"/>
        <v>1.01920613873188</v>
      </c>
      <c r="AZ16" s="2">
        <f t="shared" si="45"/>
        <v>0.124360900087511</v>
      </c>
      <c r="BA16" s="2">
        <f t="shared" si="46"/>
        <v>0.814579230372866</v>
      </c>
      <c r="BB16" s="2">
        <f t="shared" si="47"/>
        <v>0.0742294886999938</v>
      </c>
      <c r="BC16" s="2">
        <f t="shared" si="48"/>
        <v>0.773186832883782</v>
      </c>
      <c r="BD16" s="2">
        <f t="shared" si="49"/>
        <v>0.0929298762860823</v>
      </c>
      <c r="BE16" s="2">
        <f t="shared" si="50"/>
        <v>-0.0573709098006721</v>
      </c>
      <c r="BF16" s="2">
        <f t="shared" si="51"/>
        <v>0.331528145088886</v>
      </c>
    </row>
    <row r="17" s="2" customFormat="1" spans="1:58">
      <c r="A17" s="5">
        <v>178</v>
      </c>
      <c r="B17" s="6">
        <v>0.0481560808269</v>
      </c>
      <c r="C17" s="6">
        <v>0.0875756307117</v>
      </c>
      <c r="D17" s="6">
        <v>0.0832563693936</v>
      </c>
      <c r="E17" s="6">
        <v>0.202599005115</v>
      </c>
      <c r="F17" s="6">
        <v>0.286722435504</v>
      </c>
      <c r="G17" s="2">
        <f t="shared" si="0"/>
        <v>3.27399795095845</v>
      </c>
      <c r="H17" s="2">
        <f t="shared" si="1"/>
        <v>0.1991468047923</v>
      </c>
      <c r="I17" s="2">
        <f t="shared" si="2"/>
        <v>0.532054057360627</v>
      </c>
      <c r="J17" s="2">
        <f t="shared" si="3"/>
        <v>-0.435874126313745</v>
      </c>
      <c r="K17" s="2">
        <f t="shared" si="4"/>
        <v>2.27399795095845</v>
      </c>
      <c r="L17" s="2">
        <f t="shared" si="5"/>
        <v>1.09994992442256</v>
      </c>
      <c r="M17" s="2">
        <f t="shared" si="6"/>
        <v>0.341668612492106</v>
      </c>
      <c r="N17" s="2">
        <f t="shared" si="7"/>
        <v>0.317000623214273</v>
      </c>
      <c r="O17" s="2">
        <f t="shared" si="8"/>
        <v>0.432362211593346</v>
      </c>
      <c r="P17" s="2">
        <f t="shared" si="9"/>
        <v>0.325510161899975</v>
      </c>
      <c r="Q17" s="2">
        <f t="shared" si="10"/>
        <v>0.549939789569064</v>
      </c>
      <c r="R17" s="2">
        <f t="shared" si="11"/>
        <v>3.44384985307852</v>
      </c>
      <c r="S17" s="2">
        <f t="shared" si="12"/>
        <v>0.445339765490559</v>
      </c>
      <c r="T17" s="2">
        <f t="shared" si="13"/>
        <v>-0.415165783096263</v>
      </c>
      <c r="U17" s="2">
        <f t="shared" si="14"/>
        <v>0.35081210880939</v>
      </c>
      <c r="V17" s="2">
        <f t="shared" si="15"/>
        <v>0.326287794860461</v>
      </c>
      <c r="W17" s="2">
        <f t="shared" si="16"/>
        <v>0.2034660661104</v>
      </c>
      <c r="X17" s="2">
        <f t="shared" si="17"/>
        <v>0.334505733256096</v>
      </c>
      <c r="Y17" s="2">
        <f t="shared" si="18"/>
        <v>1.02466569649279</v>
      </c>
      <c r="Z17" s="2">
        <f t="shared" si="19"/>
        <v>0.855761259720257</v>
      </c>
      <c r="AA17" s="2">
        <f t="shared" si="20"/>
        <v>2.94268242227541</v>
      </c>
      <c r="AB17" s="2">
        <f t="shared" si="21"/>
        <v>0.1849894024488</v>
      </c>
      <c r="AC17" s="2">
        <f t="shared" si="22"/>
        <v>1.41522134001225</v>
      </c>
      <c r="AD17" s="2">
        <f t="shared" si="23"/>
        <v>0.084123430389</v>
      </c>
      <c r="AE17" s="2">
        <f t="shared" si="24"/>
        <v>0.171918545573197</v>
      </c>
      <c r="AF17" s="2">
        <f t="shared" si="25"/>
        <v>0.12025962664629</v>
      </c>
      <c r="AG17" s="7">
        <f t="shared" si="26"/>
        <v>0.127547165564863</v>
      </c>
      <c r="AH17" s="2">
        <f t="shared" si="27"/>
        <v>34.7285942899166</v>
      </c>
      <c r="AI17" s="2">
        <f t="shared" si="28"/>
        <v>0.415221340012255</v>
      </c>
      <c r="AJ17" s="2">
        <f t="shared" si="29"/>
        <v>0.267178309123066</v>
      </c>
      <c r="AK17" s="2">
        <f t="shared" si="30"/>
        <v>0.145043930809731</v>
      </c>
      <c r="AL17" s="2">
        <f t="shared" si="31"/>
        <v>0.150284856077159</v>
      </c>
      <c r="AM17" s="2">
        <f t="shared" si="32"/>
        <v>3.44384985307852</v>
      </c>
      <c r="AN17" s="2">
        <f t="shared" si="33"/>
        <v>0.1193426357214</v>
      </c>
      <c r="AO17" s="2">
        <f t="shared" si="34"/>
        <v>0.417493062450045</v>
      </c>
      <c r="AP17" s="2">
        <f t="shared" si="35"/>
        <v>2.43343550278057</v>
      </c>
      <c r="AQ17" s="2">
        <f t="shared" si="36"/>
        <v>0.1150233744033</v>
      </c>
      <c r="AR17" s="2">
        <f t="shared" si="37"/>
        <v>0.396393620261128</v>
      </c>
      <c r="AS17" s="2">
        <f t="shared" si="38"/>
        <v>0.704889999123049</v>
      </c>
      <c r="AT17" s="2">
        <f t="shared" si="39"/>
        <v>0.151804602699219</v>
      </c>
      <c r="AU17" s="2">
        <f t="shared" si="40"/>
        <v>0.351187439117475</v>
      </c>
      <c r="AV17" s="2">
        <f t="shared" si="41"/>
        <v>0.145406210191359</v>
      </c>
      <c r="AW17" s="2">
        <f t="shared" si="42"/>
        <v>0.500757155604215</v>
      </c>
      <c r="AX17" s="2">
        <f t="shared" si="43"/>
        <v>-0.0308999440143</v>
      </c>
      <c r="AY17" s="7">
        <f t="shared" si="44"/>
        <v>1.02168883062224</v>
      </c>
      <c r="AZ17" s="2">
        <f t="shared" si="45"/>
        <v>0.113957552453238</v>
      </c>
      <c r="BA17" s="2">
        <f t="shared" si="46"/>
        <v>0.825268306738233</v>
      </c>
      <c r="BB17" s="2">
        <f t="shared" si="47"/>
        <v>0.0626859122940847</v>
      </c>
      <c r="BC17" s="2">
        <f t="shared" si="48"/>
        <v>0.702227077153469</v>
      </c>
      <c r="BD17" s="2">
        <f t="shared" si="49"/>
        <v>0.0796005799303306</v>
      </c>
      <c r="BE17" s="2">
        <f t="shared" si="50"/>
        <v>-0.058298724308988</v>
      </c>
      <c r="BF17" s="2">
        <f t="shared" si="51"/>
        <v>0.323122327881564</v>
      </c>
    </row>
    <row r="18" s="2" customFormat="1" spans="1:58">
      <c r="A18" s="5">
        <v>170</v>
      </c>
      <c r="B18" s="6">
        <v>0.0432312643546</v>
      </c>
      <c r="C18" s="6">
        <v>0.0805589657719</v>
      </c>
      <c r="D18" s="6">
        <v>0.0743901840616</v>
      </c>
      <c r="E18" s="6">
        <v>0.19855088396</v>
      </c>
      <c r="F18" s="6">
        <v>0.289359554149</v>
      </c>
      <c r="G18" s="2">
        <f t="shared" si="0"/>
        <v>3.59189757932484</v>
      </c>
      <c r="H18" s="2">
        <f t="shared" si="1"/>
        <v>0.2088005883771</v>
      </c>
      <c r="I18" s="2">
        <f t="shared" si="2"/>
        <v>0.564450215744127</v>
      </c>
      <c r="J18" s="2">
        <f t="shared" si="3"/>
        <v>-0.397596976422121</v>
      </c>
      <c r="K18" s="2">
        <f t="shared" si="4"/>
        <v>2.59189757932484</v>
      </c>
      <c r="L18" s="2">
        <f t="shared" si="5"/>
        <v>1.20954419011319</v>
      </c>
      <c r="M18" s="2">
        <f t="shared" si="6"/>
        <v>0.360034733591059</v>
      </c>
      <c r="N18" s="2">
        <f t="shared" si="7"/>
        <v>0.336052451874937</v>
      </c>
      <c r="O18" s="2">
        <f t="shared" si="8"/>
        <v>0.457067781955592</v>
      </c>
      <c r="P18" s="2">
        <f t="shared" si="9"/>
        <v>0.343303855435611</v>
      </c>
      <c r="Q18" s="2">
        <f t="shared" si="10"/>
        <v>0.590981511477925</v>
      </c>
      <c r="R18" s="2">
        <f t="shared" si="11"/>
        <v>3.8897545126302</v>
      </c>
      <c r="S18" s="2">
        <f t="shared" si="12"/>
        <v>0.476113783184584</v>
      </c>
      <c r="T18" s="2">
        <f t="shared" si="13"/>
        <v>-0.36353979262045</v>
      </c>
      <c r="U18" s="2">
        <f t="shared" si="14"/>
        <v>0.373318845571076</v>
      </c>
      <c r="V18" s="2">
        <f t="shared" si="15"/>
        <v>0.349871482011077</v>
      </c>
      <c r="W18" s="2">
        <f t="shared" si="16"/>
        <v>0.2149693700874</v>
      </c>
      <c r="X18" s="2">
        <f t="shared" si="17"/>
        <v>0.356430811316459</v>
      </c>
      <c r="Y18" s="2">
        <f t="shared" si="18"/>
        <v>1.04450060386671</v>
      </c>
      <c r="Z18" s="2">
        <f t="shared" si="19"/>
        <v>0.972246057831072</v>
      </c>
      <c r="AA18" s="2">
        <f t="shared" si="20"/>
        <v>2.99663690806711</v>
      </c>
      <c r="AB18" s="2">
        <f t="shared" si="21"/>
        <v>0.1818748691053</v>
      </c>
      <c r="AC18" s="2">
        <f t="shared" si="22"/>
        <v>1.45735716899298</v>
      </c>
      <c r="AD18" s="2">
        <f t="shared" si="23"/>
        <v>0.090808670189</v>
      </c>
      <c r="AE18" s="2">
        <f t="shared" si="24"/>
        <v>0.186117498410053</v>
      </c>
      <c r="AF18" s="2">
        <f t="shared" si="25"/>
        <v>0.130004163508405</v>
      </c>
      <c r="AG18" s="7">
        <f t="shared" si="26"/>
        <v>0.137879913025548</v>
      </c>
      <c r="AH18" s="2">
        <f t="shared" si="27"/>
        <v>37.6624637180076</v>
      </c>
      <c r="AI18" s="2">
        <f t="shared" si="28"/>
        <v>0.457357168992984</v>
      </c>
      <c r="AJ18" s="2">
        <f t="shared" si="29"/>
        <v>0.291757043056167</v>
      </c>
      <c r="AK18" s="2">
        <f t="shared" si="30"/>
        <v>0.157699619759871</v>
      </c>
      <c r="AL18" s="2">
        <f t="shared" si="31"/>
        <v>0.162581201387465</v>
      </c>
      <c r="AM18" s="2">
        <f t="shared" si="32"/>
        <v>3.8897545126302</v>
      </c>
      <c r="AN18" s="2">
        <f t="shared" si="33"/>
        <v>0.1241606998984</v>
      </c>
      <c r="AO18" s="2">
        <f t="shared" si="34"/>
        <v>0.454899296754324</v>
      </c>
      <c r="AP18" s="2">
        <f t="shared" si="35"/>
        <v>2.66904681665509</v>
      </c>
      <c r="AQ18" s="2">
        <f t="shared" si="36"/>
        <v>0.1179919181881</v>
      </c>
      <c r="AR18" s="2">
        <f t="shared" si="37"/>
        <v>0.422743655594518</v>
      </c>
      <c r="AS18" s="2">
        <f t="shared" si="38"/>
        <v>0.73138014092469</v>
      </c>
      <c r="AT18" s="2">
        <f t="shared" si="39"/>
        <v>0.141712052085705</v>
      </c>
      <c r="AU18" s="2">
        <f t="shared" si="40"/>
        <v>0.349272771066494</v>
      </c>
      <c r="AV18" s="2">
        <f t="shared" si="41"/>
        <v>0.132296108395609</v>
      </c>
      <c r="AW18" s="2">
        <f t="shared" si="42"/>
        <v>0.514599384635234</v>
      </c>
      <c r="AX18" s="2">
        <f t="shared" si="43"/>
        <v>-0.0271832479991</v>
      </c>
      <c r="AY18" s="7">
        <f t="shared" si="44"/>
        <v>1.02954389045666</v>
      </c>
      <c r="AZ18" s="2">
        <f t="shared" si="45"/>
        <v>0.120983207377372</v>
      </c>
      <c r="BA18" s="2">
        <f t="shared" si="46"/>
        <v>0.770906910873542</v>
      </c>
      <c r="BB18" s="2">
        <f t="shared" si="47"/>
        <v>0.0714812596343946</v>
      </c>
      <c r="BC18" s="2">
        <f t="shared" si="48"/>
        <v>0.712371999144883</v>
      </c>
      <c r="BD18" s="2">
        <f t="shared" si="49"/>
        <v>0.084453719000533</v>
      </c>
      <c r="BE18" s="2">
        <f t="shared" si="50"/>
        <v>-0.053302907301276</v>
      </c>
      <c r="BF18" s="2">
        <f t="shared" si="51"/>
        <v>0.329732354100866</v>
      </c>
    </row>
    <row r="19" s="2" customFormat="1" spans="1:58">
      <c r="A19" s="5">
        <v>182</v>
      </c>
      <c r="B19" s="6">
        <v>0.0524510620342</v>
      </c>
      <c r="C19" s="6">
        <v>0.0968581247643</v>
      </c>
      <c r="D19" s="6">
        <v>0.0911915877514</v>
      </c>
      <c r="E19" s="6">
        <v>0.221044825495</v>
      </c>
      <c r="F19" s="6">
        <v>0.30936179007</v>
      </c>
      <c r="G19" s="2">
        <f t="shared" si="0"/>
        <v>3.19396840298961</v>
      </c>
      <c r="H19" s="2">
        <f t="shared" si="1"/>
        <v>0.2125036653057</v>
      </c>
      <c r="I19" s="2">
        <f t="shared" si="2"/>
        <v>0.523124685781055</v>
      </c>
      <c r="J19" s="2">
        <f t="shared" si="3"/>
        <v>-0.445842838844879</v>
      </c>
      <c r="K19" s="2">
        <f t="shared" si="4"/>
        <v>2.19396840298961</v>
      </c>
      <c r="L19" s="2">
        <f t="shared" si="5"/>
        <v>1.07131649451855</v>
      </c>
      <c r="M19" s="2">
        <f t="shared" si="6"/>
        <v>0.351741881568376</v>
      </c>
      <c r="N19" s="2">
        <f t="shared" si="7"/>
        <v>0.329716945821764</v>
      </c>
      <c r="O19" s="2">
        <f t="shared" si="8"/>
        <v>0.43535072733489</v>
      </c>
      <c r="P19" s="2">
        <f t="shared" si="9"/>
        <v>0.333415526243705</v>
      </c>
      <c r="Q19" s="2">
        <f t="shared" si="10"/>
        <v>0.54467198230913</v>
      </c>
      <c r="R19" s="2">
        <f t="shared" si="11"/>
        <v>3.39243780811625</v>
      </c>
      <c r="S19" s="2">
        <f t="shared" si="12"/>
        <v>0.451477851535148</v>
      </c>
      <c r="T19" s="2">
        <f t="shared" si="13"/>
        <v>-0.421370625915719</v>
      </c>
      <c r="U19" s="2">
        <f t="shared" si="14"/>
        <v>0.363393566153279</v>
      </c>
      <c r="V19" s="2">
        <f t="shared" si="15"/>
        <v>0.341680164828945</v>
      </c>
      <c r="W19" s="2">
        <f t="shared" si="16"/>
        <v>0.2181702023186</v>
      </c>
      <c r="X19" s="2">
        <f t="shared" si="17"/>
        <v>0.34471901104763</v>
      </c>
      <c r="Y19" s="2">
        <f t="shared" si="18"/>
        <v>1.02209196372397</v>
      </c>
      <c r="Z19" s="2">
        <f t="shared" si="19"/>
        <v>0.841857162788757</v>
      </c>
      <c r="AA19" s="2">
        <f t="shared" si="20"/>
        <v>2.93569204664914</v>
      </c>
      <c r="AB19" s="2">
        <f t="shared" si="21"/>
        <v>0.2002766889107</v>
      </c>
      <c r="AC19" s="2">
        <f t="shared" si="22"/>
        <v>1.39954323462323</v>
      </c>
      <c r="AD19" s="2">
        <f t="shared" si="23"/>
        <v>0.088316964575</v>
      </c>
      <c r="AE19" s="2">
        <f t="shared" si="24"/>
        <v>0.16650803738736</v>
      </c>
      <c r="AF19" s="2">
        <f t="shared" si="25"/>
        <v>0.121266171867476</v>
      </c>
      <c r="AG19" s="7">
        <f t="shared" si="26"/>
        <v>0.128566184321187</v>
      </c>
      <c r="AH19" s="2">
        <f t="shared" si="27"/>
        <v>33.6145922403113</v>
      </c>
      <c r="AI19" s="2">
        <f t="shared" si="28"/>
        <v>0.399543234623231</v>
      </c>
      <c r="AJ19" s="2">
        <f t="shared" si="29"/>
        <v>0.257928594476284</v>
      </c>
      <c r="AK19" s="2">
        <f t="shared" si="30"/>
        <v>0.147104491665982</v>
      </c>
      <c r="AL19" s="2">
        <f t="shared" si="31"/>
        <v>0.148387452549482</v>
      </c>
      <c r="AM19" s="2">
        <f t="shared" si="32"/>
        <v>3.39243780811625</v>
      </c>
      <c r="AN19" s="2">
        <f t="shared" si="33"/>
        <v>0.1298532377436</v>
      </c>
      <c r="AO19" s="2">
        <f t="shared" si="34"/>
        <v>0.41588114721625</v>
      </c>
      <c r="AP19" s="2">
        <f t="shared" si="35"/>
        <v>2.4239607067441</v>
      </c>
      <c r="AQ19" s="2">
        <f t="shared" si="36"/>
        <v>0.1241867007307</v>
      </c>
      <c r="AR19" s="2">
        <f t="shared" si="37"/>
        <v>0.390643435769961</v>
      </c>
      <c r="AS19" s="2">
        <f t="shared" si="38"/>
        <v>0.680129091192821</v>
      </c>
      <c r="AT19" s="2">
        <f t="shared" si="39"/>
        <v>0.154413469364549</v>
      </c>
      <c r="AU19" s="2">
        <f t="shared" si="40"/>
        <v>0.352394788489078</v>
      </c>
      <c r="AV19" s="2">
        <f t="shared" si="41"/>
        <v>0.146705037538505</v>
      </c>
      <c r="AW19" s="2">
        <f t="shared" si="42"/>
        <v>0.497687715986739</v>
      </c>
      <c r="AX19" s="2">
        <f t="shared" si="43"/>
        <v>-0.0358697361557</v>
      </c>
      <c r="AY19" s="7">
        <f t="shared" si="44"/>
        <v>1.02666559658982</v>
      </c>
      <c r="AZ19" s="2">
        <f t="shared" si="45"/>
        <v>0.115646874060406</v>
      </c>
      <c r="BA19" s="2">
        <f t="shared" si="46"/>
        <v>0.83766345150817</v>
      </c>
      <c r="BB19" s="2">
        <f t="shared" si="47"/>
        <v>0.0641217968511544</v>
      </c>
      <c r="BC19" s="2">
        <f t="shared" si="48"/>
        <v>0.757538745505231</v>
      </c>
      <c r="BD19" s="2">
        <f t="shared" si="49"/>
        <v>0.081747715334173</v>
      </c>
      <c r="BE19" s="2">
        <f t="shared" si="50"/>
        <v>-0.0665548241518921</v>
      </c>
      <c r="BF19" s="2">
        <f t="shared" si="51"/>
        <v>0.318295125260154</v>
      </c>
    </row>
    <row r="20" s="2" customFormat="1" spans="1:58">
      <c r="A20" s="5">
        <v>171.5</v>
      </c>
      <c r="B20" s="6">
        <v>0.0726838071363</v>
      </c>
      <c r="C20" s="6">
        <v>0.125894115793</v>
      </c>
      <c r="D20" s="6">
        <v>0.146458036723</v>
      </c>
      <c r="E20" s="6">
        <v>0.226204013867</v>
      </c>
      <c r="F20" s="6">
        <v>0.27728022881</v>
      </c>
      <c r="G20" s="2">
        <f t="shared" si="0"/>
        <v>2.20248759891141</v>
      </c>
      <c r="H20" s="2">
        <f t="shared" si="1"/>
        <v>0.151386113017</v>
      </c>
      <c r="I20" s="2">
        <f t="shared" si="2"/>
        <v>0.375485481761166</v>
      </c>
      <c r="J20" s="2">
        <f t="shared" si="3"/>
        <v>-0.581904891308331</v>
      </c>
      <c r="K20" s="2">
        <f t="shared" si="4"/>
        <v>1.20248759891141</v>
      </c>
      <c r="L20" s="2">
        <f t="shared" si="5"/>
        <v>0.671949875652254</v>
      </c>
      <c r="M20" s="2">
        <f t="shared" si="6"/>
        <v>0.251423405550027</v>
      </c>
      <c r="N20" s="2">
        <f t="shared" si="7"/>
        <v>0.228288126804037</v>
      </c>
      <c r="O20" s="2">
        <f t="shared" si="8"/>
        <v>0.311817988128546</v>
      </c>
      <c r="P20" s="2">
        <f t="shared" si="9"/>
        <v>0.238418303781691</v>
      </c>
      <c r="Q20" s="2">
        <f t="shared" si="10"/>
        <v>0.30873348651306</v>
      </c>
      <c r="R20" s="2">
        <f t="shared" si="11"/>
        <v>1.89324010490751</v>
      </c>
      <c r="S20" s="2">
        <f t="shared" si="12"/>
        <v>0.259968810991612</v>
      </c>
      <c r="T20" s="2">
        <f t="shared" si="13"/>
        <v>-0.629741063056761</v>
      </c>
      <c r="U20" s="2">
        <f t="shared" si="14"/>
        <v>0.212433862980952</v>
      </c>
      <c r="V20" s="2">
        <f t="shared" si="15"/>
        <v>0.192028001197899</v>
      </c>
      <c r="W20" s="2">
        <f t="shared" si="16"/>
        <v>0.130822192087</v>
      </c>
      <c r="X20" s="2">
        <f t="shared" si="17"/>
        <v>0.200970623416212</v>
      </c>
      <c r="Y20" s="2">
        <f t="shared" si="18"/>
        <v>0.899296106136939</v>
      </c>
      <c r="Z20" s="2">
        <f t="shared" si="19"/>
        <v>0.375950618629719</v>
      </c>
      <c r="AA20" s="2">
        <f t="shared" si="20"/>
        <v>2.61792477514073</v>
      </c>
      <c r="AB20" s="2">
        <f t="shared" si="21"/>
        <v>0.2118691327665</v>
      </c>
      <c r="AC20" s="2">
        <f t="shared" si="22"/>
        <v>1.22579712035097</v>
      </c>
      <c r="AD20" s="2">
        <f t="shared" si="23"/>
        <v>0.051076214943</v>
      </c>
      <c r="AE20" s="2">
        <f t="shared" si="24"/>
        <v>0.101445508346856</v>
      </c>
      <c r="AF20" s="2">
        <f t="shared" si="25"/>
        <v>0.0719823074743086</v>
      </c>
      <c r="AG20" s="7">
        <f t="shared" si="26"/>
        <v>0.0763483063870694</v>
      </c>
      <c r="AH20" s="2">
        <f t="shared" si="27"/>
        <v>20.3591342867006</v>
      </c>
      <c r="AI20" s="2">
        <f t="shared" si="28"/>
        <v>0.225797120350972</v>
      </c>
      <c r="AJ20" s="2">
        <f t="shared" si="29"/>
        <v>0.15134762521183</v>
      </c>
      <c r="AK20" s="2">
        <f t="shared" si="30"/>
        <v>0.0829394269710081</v>
      </c>
      <c r="AL20" s="2">
        <f t="shared" si="31"/>
        <v>0.089298894416583</v>
      </c>
      <c r="AM20" s="2">
        <f t="shared" si="32"/>
        <v>1.89324010490751</v>
      </c>
      <c r="AN20" s="2">
        <f t="shared" si="33"/>
        <v>0.079745977144</v>
      </c>
      <c r="AO20" s="2">
        <f t="shared" si="34"/>
        <v>0.213990066919199</v>
      </c>
      <c r="AP20" s="2">
        <f t="shared" si="35"/>
        <v>1.54449710598556</v>
      </c>
      <c r="AQ20" s="2">
        <f t="shared" si="36"/>
        <v>0.100309898074</v>
      </c>
      <c r="AR20" s="2">
        <f t="shared" si="37"/>
        <v>0.284891879916724</v>
      </c>
      <c r="AS20" s="2">
        <f t="shared" si="38"/>
        <v>0.640486414139361</v>
      </c>
      <c r="AT20" s="2">
        <f t="shared" si="39"/>
        <v>0.200029305264078</v>
      </c>
      <c r="AU20" s="2">
        <f t="shared" si="40"/>
        <v>0.359408630472924</v>
      </c>
      <c r="AV20" s="2">
        <f t="shared" si="41"/>
        <v>0.22534006690287</v>
      </c>
      <c r="AW20" s="2">
        <f t="shared" si="42"/>
        <v>0.426622851903055</v>
      </c>
      <c r="AX20" s="2">
        <f t="shared" si="43"/>
        <v>-0.049233683131</v>
      </c>
      <c r="AY20" s="7">
        <f t="shared" si="44"/>
        <v>0.864162435244699</v>
      </c>
      <c r="AZ20" s="2">
        <f t="shared" si="45"/>
        <v>0.0755431905197914</v>
      </c>
      <c r="BA20" s="2">
        <f t="shared" si="46"/>
        <v>1.20329458228681</v>
      </c>
      <c r="BB20" s="2">
        <f t="shared" si="47"/>
        <v>0.0254953449160836</v>
      </c>
      <c r="BC20" s="2">
        <f t="shared" si="48"/>
        <v>0.659559366301406</v>
      </c>
      <c r="BD20" s="2">
        <f t="shared" si="49"/>
        <v>0.0570117650260521</v>
      </c>
      <c r="BE20" s="2">
        <f t="shared" si="50"/>
        <v>-0.0829336914775201</v>
      </c>
      <c r="BF20" s="2">
        <f t="shared" si="51"/>
        <v>0.27017158658449</v>
      </c>
    </row>
    <row r="21" s="2" customFormat="1" spans="1:58">
      <c r="A21" s="5">
        <v>171.5</v>
      </c>
      <c r="B21" s="6">
        <v>0.0627842791554</v>
      </c>
      <c r="C21" s="6">
        <v>0.11201694885</v>
      </c>
      <c r="D21" s="6">
        <v>0.126510433665</v>
      </c>
      <c r="E21" s="6">
        <v>0.21865094661</v>
      </c>
      <c r="F21" s="6">
        <v>0.277497185262</v>
      </c>
      <c r="G21" s="2">
        <f t="shared" si="0"/>
        <v>2.47727855570849</v>
      </c>
      <c r="H21" s="2">
        <f t="shared" si="1"/>
        <v>0.165480236412</v>
      </c>
      <c r="I21" s="2">
        <f t="shared" si="2"/>
        <v>0.424837565366545</v>
      </c>
      <c r="J21" s="2">
        <f t="shared" si="3"/>
        <v>-0.541695034261736</v>
      </c>
      <c r="K21" s="2">
        <f t="shared" si="4"/>
        <v>1.47727855570849</v>
      </c>
      <c r="L21" s="2">
        <f t="shared" si="5"/>
        <v>0.792214254463653</v>
      </c>
      <c r="M21" s="2">
        <f t="shared" si="6"/>
        <v>0.279051613795657</v>
      </c>
      <c r="N21" s="2">
        <f t="shared" si="7"/>
        <v>0.254485330457223</v>
      </c>
      <c r="O21" s="2">
        <f t="shared" si="8"/>
        <v>0.349321450208223</v>
      </c>
      <c r="P21" s="2">
        <f t="shared" si="9"/>
        <v>0.265145659503516</v>
      </c>
      <c r="Q21" s="2">
        <f t="shared" si="10"/>
        <v>0.37372253522843</v>
      </c>
      <c r="R21" s="2">
        <f t="shared" si="11"/>
        <v>2.19347272175838</v>
      </c>
      <c r="S21" s="2">
        <f t="shared" si="12"/>
        <v>0.310535932450212</v>
      </c>
      <c r="T21" s="2">
        <f t="shared" si="13"/>
        <v>-0.583259592647778</v>
      </c>
      <c r="U21" s="2">
        <f t="shared" si="14"/>
        <v>0.25052900291296</v>
      </c>
      <c r="V21" s="2">
        <f t="shared" si="15"/>
        <v>0.22747139505182</v>
      </c>
      <c r="W21" s="2">
        <f t="shared" si="16"/>
        <v>0.150986751597</v>
      </c>
      <c r="X21" s="2">
        <f t="shared" si="17"/>
        <v>0.237543999277473</v>
      </c>
      <c r="Y21" s="2">
        <f t="shared" si="18"/>
        <v>0.934731263641283</v>
      </c>
      <c r="Z21" s="2">
        <f t="shared" si="19"/>
        <v>0.48103771787162</v>
      </c>
      <c r="AA21" s="2">
        <f t="shared" si="20"/>
        <v>2.7088092533266</v>
      </c>
      <c r="AB21" s="2">
        <f t="shared" si="21"/>
        <v>0.2020038094635</v>
      </c>
      <c r="AC21" s="2">
        <f t="shared" si="22"/>
        <v>1.26913324439872</v>
      </c>
      <c r="AD21" s="2">
        <f t="shared" si="23"/>
        <v>0.058846238652</v>
      </c>
      <c r="AE21" s="2">
        <f t="shared" si="24"/>
        <v>0.118606188095417</v>
      </c>
      <c r="AF21" s="2">
        <f t="shared" si="25"/>
        <v>0.0835435697721069</v>
      </c>
      <c r="AG21" s="7">
        <f t="shared" si="26"/>
        <v>0.088610674611336</v>
      </c>
      <c r="AH21" s="2">
        <f t="shared" si="27"/>
        <v>23.8334182746362</v>
      </c>
      <c r="AI21" s="2">
        <f t="shared" si="28"/>
        <v>0.269133244398717</v>
      </c>
      <c r="AJ21" s="2">
        <f t="shared" si="29"/>
        <v>0.178664121210399</v>
      </c>
      <c r="AK21" s="2">
        <f t="shared" si="30"/>
        <v>0.097642272177717</v>
      </c>
      <c r="AL21" s="2">
        <f t="shared" si="31"/>
        <v>0.104033881254174</v>
      </c>
      <c r="AM21" s="2">
        <f t="shared" si="32"/>
        <v>2.19347272175838</v>
      </c>
      <c r="AN21" s="2">
        <f t="shared" si="33"/>
        <v>0.092140512945</v>
      </c>
      <c r="AO21" s="2">
        <f t="shared" si="34"/>
        <v>0.266949080084188</v>
      </c>
      <c r="AP21" s="2">
        <f t="shared" si="35"/>
        <v>1.72832342974168</v>
      </c>
      <c r="AQ21" s="2">
        <f t="shared" si="36"/>
        <v>0.10663399776</v>
      </c>
      <c r="AR21" s="2">
        <f t="shared" si="37"/>
        <v>0.322480649691313</v>
      </c>
      <c r="AS21" s="2">
        <f t="shared" si="38"/>
        <v>0.638657597740162</v>
      </c>
      <c r="AT21" s="2">
        <f t="shared" si="39"/>
        <v>0.184188392922882</v>
      </c>
      <c r="AU21" s="2">
        <f t="shared" si="40"/>
        <v>0.359525651078853</v>
      </c>
      <c r="AV21" s="2">
        <f t="shared" si="41"/>
        <v>0.203177858086467</v>
      </c>
      <c r="AW21" s="2">
        <f t="shared" si="42"/>
        <v>0.445665089377961</v>
      </c>
      <c r="AX21" s="2">
        <f t="shared" si="43"/>
        <v>-0.047787759108</v>
      </c>
      <c r="AY21" s="7">
        <f t="shared" si="44"/>
        <v>0.912415614521391</v>
      </c>
      <c r="AZ21" s="2">
        <f t="shared" si="45"/>
        <v>0.0841008610290279</v>
      </c>
      <c r="BA21" s="2">
        <f t="shared" si="46"/>
        <v>1.03956390672748</v>
      </c>
      <c r="BB21" s="2">
        <f t="shared" si="47"/>
        <v>0.0326804239167883</v>
      </c>
      <c r="BC21" s="2">
        <f t="shared" si="48"/>
        <v>0.665112624955558</v>
      </c>
      <c r="BD21" s="2">
        <f t="shared" si="49"/>
        <v>0.0615653324066857</v>
      </c>
      <c r="BE21" s="2">
        <f t="shared" si="50"/>
        <v>-0.08161045284672</v>
      </c>
      <c r="BF21" s="2">
        <f t="shared" si="51"/>
        <v>0.279180086142064</v>
      </c>
    </row>
    <row r="22" s="2" customFormat="1" spans="1:58">
      <c r="A22" s="5">
        <v>181.5</v>
      </c>
      <c r="B22" s="6">
        <v>0.0580951963356</v>
      </c>
      <c r="C22" s="6">
        <v>0.10314493277</v>
      </c>
      <c r="D22" s="6">
        <v>0.111728983106</v>
      </c>
      <c r="E22" s="6">
        <v>0.203870467094</v>
      </c>
      <c r="F22" s="6">
        <v>0.263015620258</v>
      </c>
      <c r="G22" s="2">
        <f t="shared" si="0"/>
        <v>2.54996162384914</v>
      </c>
      <c r="H22" s="2">
        <f t="shared" si="1"/>
        <v>0.159870687488</v>
      </c>
      <c r="I22" s="2">
        <f t="shared" si="2"/>
        <v>0.436613627999887</v>
      </c>
      <c r="J22" s="2">
        <f t="shared" si="3"/>
        <v>-0.531398968073306</v>
      </c>
      <c r="K22" s="2">
        <f t="shared" si="4"/>
        <v>1.54996162384914</v>
      </c>
      <c r="L22" s="2">
        <f t="shared" si="5"/>
        <v>0.822638661776463</v>
      </c>
      <c r="M22" s="2">
        <f t="shared" si="6"/>
        <v>0.276860947307823</v>
      </c>
      <c r="N22" s="2">
        <f t="shared" si="7"/>
        <v>0.250715452600697</v>
      </c>
      <c r="O22" s="2">
        <f t="shared" si="8"/>
        <v>0.352458952726186</v>
      </c>
      <c r="P22" s="2">
        <f t="shared" si="9"/>
        <v>0.264200153056299</v>
      </c>
      <c r="Q22" s="2">
        <f t="shared" si="10"/>
        <v>0.403705979469572</v>
      </c>
      <c r="R22" s="2">
        <f t="shared" si="11"/>
        <v>2.35405006781876</v>
      </c>
      <c r="S22" s="2">
        <f t="shared" si="12"/>
        <v>0.328180028358065</v>
      </c>
      <c r="T22" s="2">
        <f t="shared" si="13"/>
        <v>-0.559471204604676</v>
      </c>
      <c r="U22" s="2">
        <f t="shared" si="14"/>
        <v>0.259424242064823</v>
      </c>
      <c r="V22" s="2">
        <f t="shared" si="15"/>
        <v>0.234224959926617</v>
      </c>
      <c r="W22" s="2">
        <f t="shared" si="16"/>
        <v>0.151286637152</v>
      </c>
      <c r="X22" s="2">
        <f t="shared" si="17"/>
        <v>0.247134214612437</v>
      </c>
      <c r="Y22" s="2">
        <f t="shared" si="18"/>
        <v>0.950634514137569</v>
      </c>
      <c r="Z22" s="2">
        <f t="shared" si="19"/>
        <v>0.534291389475531</v>
      </c>
      <c r="AA22" s="2">
        <f t="shared" si="20"/>
        <v>2.75988423341157</v>
      </c>
      <c r="AB22" s="2">
        <f t="shared" si="21"/>
        <v>0.187372301682</v>
      </c>
      <c r="AC22" s="2">
        <f t="shared" si="22"/>
        <v>1.29011143206303</v>
      </c>
      <c r="AD22" s="2">
        <f t="shared" si="23"/>
        <v>0.059145153164</v>
      </c>
      <c r="AE22" s="2">
        <f t="shared" si="24"/>
        <v>0.126680050586748</v>
      </c>
      <c r="AF22" s="2">
        <f t="shared" si="25"/>
        <v>0.0865592917876322</v>
      </c>
      <c r="AG22" s="7">
        <f t="shared" si="26"/>
        <v>0.0917561343642562</v>
      </c>
      <c r="AH22" s="2">
        <f t="shared" si="27"/>
        <v>25.4728596087131</v>
      </c>
      <c r="AI22" s="2">
        <f t="shared" si="28"/>
        <v>0.290111432063034</v>
      </c>
      <c r="AJ22" s="2">
        <f t="shared" si="29"/>
        <v>0.19170636632501</v>
      </c>
      <c r="AK22" s="2">
        <f t="shared" si="30"/>
        <v>0.101421294175258</v>
      </c>
      <c r="AL22" s="2">
        <f t="shared" si="31"/>
        <v>0.109443133376983</v>
      </c>
      <c r="AM22" s="2">
        <f t="shared" si="32"/>
        <v>2.35405006781876</v>
      </c>
      <c r="AN22" s="2">
        <f t="shared" si="33"/>
        <v>0.092141483988</v>
      </c>
      <c r="AO22" s="2">
        <f t="shared" si="34"/>
        <v>0.291957048498052</v>
      </c>
      <c r="AP22" s="2">
        <f t="shared" si="35"/>
        <v>1.8246873946806</v>
      </c>
      <c r="AQ22" s="2">
        <f t="shared" si="36"/>
        <v>0.100725534324</v>
      </c>
      <c r="AR22" s="2">
        <f t="shared" si="37"/>
        <v>0.32807974573464</v>
      </c>
      <c r="AS22" s="2">
        <f t="shared" si="38"/>
        <v>0.641894948986308</v>
      </c>
      <c r="AT22" s="2">
        <f t="shared" si="39"/>
        <v>0.180946175083462</v>
      </c>
      <c r="AU22" s="2">
        <f t="shared" si="40"/>
        <v>0.357648022471421</v>
      </c>
      <c r="AV22" s="2">
        <f t="shared" si="41"/>
        <v>0.193097257244892</v>
      </c>
      <c r="AW22" s="2">
        <f t="shared" si="42"/>
        <v>0.454560611512955</v>
      </c>
      <c r="AX22" s="2">
        <f t="shared" si="43"/>
        <v>-0.04158038116</v>
      </c>
      <c r="AY22" s="7">
        <f t="shared" si="44"/>
        <v>0.946306289971735</v>
      </c>
      <c r="AZ22" s="2">
        <f t="shared" si="45"/>
        <v>0.0863356550988015</v>
      </c>
      <c r="BA22" s="2">
        <f t="shared" si="46"/>
        <v>1.01856817745996</v>
      </c>
      <c r="BB22" s="2">
        <f t="shared" si="47"/>
        <v>0.0350536379319865</v>
      </c>
      <c r="BC22" s="2">
        <f t="shared" si="48"/>
        <v>0.631954507253465</v>
      </c>
      <c r="BD22" s="2">
        <f t="shared" si="49"/>
        <v>0.0603294874270996</v>
      </c>
      <c r="BE22" s="2">
        <f t="shared" si="50"/>
        <v>-0.07196281298928</v>
      </c>
      <c r="BF22" s="2">
        <f t="shared" si="51"/>
        <v>0.29014222750459</v>
      </c>
    </row>
    <row r="23" s="2" customFormat="1" spans="1:58">
      <c r="A23" s="5">
        <v>202</v>
      </c>
      <c r="B23" s="6">
        <v>0.0543702853815</v>
      </c>
      <c r="C23" s="6">
        <v>0.100617406383</v>
      </c>
      <c r="D23" s="6">
        <v>0.0956081386111</v>
      </c>
      <c r="E23" s="6">
        <v>0.225583133795</v>
      </c>
      <c r="F23" s="6">
        <v>0.31369720861</v>
      </c>
      <c r="G23" s="2">
        <f t="shared" si="0"/>
        <v>3.11772306489309</v>
      </c>
      <c r="H23" s="2">
        <f t="shared" si="1"/>
        <v>0.213079802227</v>
      </c>
      <c r="I23" s="2">
        <f t="shared" si="2"/>
        <v>0.514294679734144</v>
      </c>
      <c r="J23" s="2">
        <f t="shared" si="3"/>
        <v>-0.45546979135026</v>
      </c>
      <c r="K23" s="2">
        <f t="shared" si="4"/>
        <v>2.11772306489309</v>
      </c>
      <c r="L23" s="2">
        <f t="shared" si="5"/>
        <v>1.04361568856778</v>
      </c>
      <c r="M23" s="2">
        <f t="shared" si="6"/>
        <v>0.349573000474183</v>
      </c>
      <c r="N23" s="2">
        <f t="shared" si="7"/>
        <v>0.327957007632455</v>
      </c>
      <c r="O23" s="2">
        <f t="shared" si="8"/>
        <v>0.430378339904048</v>
      </c>
      <c r="P23" s="2">
        <f t="shared" si="9"/>
        <v>0.331037473172071</v>
      </c>
      <c r="Q23" s="2">
        <f t="shared" si="10"/>
        <v>0.532827317013017</v>
      </c>
      <c r="R23" s="2">
        <f t="shared" si="11"/>
        <v>3.28107223053478</v>
      </c>
      <c r="S23" s="2">
        <f t="shared" si="12"/>
        <v>0.444371939300393</v>
      </c>
      <c r="T23" s="2">
        <f t="shared" si="13"/>
        <v>-0.434999542164767</v>
      </c>
      <c r="U23" s="2">
        <f t="shared" si="14"/>
        <v>0.359762104113973</v>
      </c>
      <c r="V23" s="2">
        <f t="shared" si="15"/>
        <v>0.338381516357045</v>
      </c>
      <c r="W23" s="2">
        <f t="shared" si="16"/>
        <v>0.2180890699989</v>
      </c>
      <c r="X23" s="2">
        <f t="shared" si="17"/>
        <v>0.340886805314283</v>
      </c>
      <c r="Y23" s="2">
        <f t="shared" si="18"/>
        <v>1.0162811210551</v>
      </c>
      <c r="Z23" s="2">
        <f t="shared" si="19"/>
        <v>0.811373023574873</v>
      </c>
      <c r="AA23" s="2">
        <f t="shared" si="20"/>
        <v>2.91910713640457</v>
      </c>
      <c r="AB23" s="2">
        <f t="shared" si="21"/>
        <v>0.20465267361055</v>
      </c>
      <c r="AC23" s="2">
        <f t="shared" si="22"/>
        <v>1.39060577505353</v>
      </c>
      <c r="AD23" s="2">
        <f t="shared" si="23"/>
        <v>0.088114074815</v>
      </c>
      <c r="AE23" s="2">
        <f t="shared" si="24"/>
        <v>0.163391964969541</v>
      </c>
      <c r="AF23" s="2">
        <f t="shared" si="25"/>
        <v>0.119988048677758</v>
      </c>
      <c r="AG23" s="7">
        <f t="shared" si="26"/>
        <v>0.127175610689068</v>
      </c>
      <c r="AH23" s="2">
        <f t="shared" si="27"/>
        <v>32.9739461596298</v>
      </c>
      <c r="AI23" s="2">
        <f t="shared" si="28"/>
        <v>0.390605775053529</v>
      </c>
      <c r="AJ23" s="2">
        <f t="shared" si="29"/>
        <v>0.252629857923498</v>
      </c>
      <c r="AK23" s="2">
        <f t="shared" si="30"/>
        <v>0.145353937075619</v>
      </c>
      <c r="AL23" s="2">
        <f t="shared" si="31"/>
        <v>0.14616788230292</v>
      </c>
      <c r="AM23" s="2">
        <f t="shared" si="32"/>
        <v>3.28107223053478</v>
      </c>
      <c r="AN23" s="2">
        <f t="shared" si="33"/>
        <v>0.1299749951839</v>
      </c>
      <c r="AO23" s="2">
        <f t="shared" si="34"/>
        <v>0.404665401429605</v>
      </c>
      <c r="AP23" s="2">
        <f t="shared" si="35"/>
        <v>2.35945534629214</v>
      </c>
      <c r="AQ23" s="2">
        <f t="shared" si="36"/>
        <v>0.124965727412</v>
      </c>
      <c r="AR23" s="2">
        <f t="shared" si="37"/>
        <v>0.383094789922203</v>
      </c>
      <c r="AS23" s="2">
        <f t="shared" si="38"/>
        <v>0.677930971956017</v>
      </c>
      <c r="AT23" s="2">
        <f t="shared" si="39"/>
        <v>0.157239819289214</v>
      </c>
      <c r="AU23" s="2">
        <f t="shared" si="40"/>
        <v>0.352529969393182</v>
      </c>
      <c r="AV23" s="2">
        <f t="shared" si="41"/>
        <v>0.150590444573959</v>
      </c>
      <c r="AW23" s="2">
        <f t="shared" si="42"/>
        <v>0.494098125875503</v>
      </c>
      <c r="AX23" s="2">
        <f t="shared" si="43"/>
        <v>-0.036851652597</v>
      </c>
      <c r="AY23" s="7">
        <f t="shared" si="44"/>
        <v>1.02350888127146</v>
      </c>
      <c r="AZ23" s="2">
        <f t="shared" si="45"/>
        <v>0.115177854688181</v>
      </c>
      <c r="BA23" s="2">
        <f t="shared" si="46"/>
        <v>0.855946498952365</v>
      </c>
      <c r="BB23" s="2">
        <f t="shared" si="47"/>
        <v>0.0632699405964117</v>
      </c>
      <c r="BC23" s="2">
        <f t="shared" si="48"/>
        <v>0.767503696325751</v>
      </c>
      <c r="BD23" s="2">
        <f t="shared" si="49"/>
        <v>0.0823766723150857</v>
      </c>
      <c r="BE23" s="2">
        <f t="shared" si="50"/>
        <v>-0.06806226702912</v>
      </c>
      <c r="BF23" s="2">
        <f t="shared" si="51"/>
        <v>0.317701060127638</v>
      </c>
    </row>
    <row r="24" s="2" customFormat="1" spans="1:58">
      <c r="A24" s="5">
        <v>217</v>
      </c>
      <c r="B24" s="6">
        <v>0.0471038942682</v>
      </c>
      <c r="C24" s="6">
        <v>0.0846060743963</v>
      </c>
      <c r="D24" s="6">
        <v>0.0731307000881</v>
      </c>
      <c r="E24" s="6">
        <v>0.210969816092</v>
      </c>
      <c r="F24" s="6">
        <v>0.316958112123</v>
      </c>
      <c r="G24" s="2">
        <f t="shared" si="0"/>
        <v>3.74628080057643</v>
      </c>
      <c r="H24" s="2">
        <f t="shared" si="1"/>
        <v>0.2323520377267</v>
      </c>
      <c r="I24" s="2">
        <f t="shared" si="2"/>
        <v>0.578617430355764</v>
      </c>
      <c r="J24" s="2">
        <f t="shared" si="3"/>
        <v>-0.379735021492133</v>
      </c>
      <c r="K24" s="2">
        <f t="shared" si="4"/>
        <v>2.74628080057643</v>
      </c>
      <c r="L24" s="2">
        <f t="shared" si="5"/>
        <v>1.26057365507332</v>
      </c>
      <c r="M24" s="2">
        <f t="shared" si="6"/>
        <v>0.38658152331408</v>
      </c>
      <c r="N24" s="2">
        <f t="shared" si="7"/>
        <v>0.366717641363011</v>
      </c>
      <c r="O24" s="2">
        <f t="shared" si="8"/>
        <v>0.479960029918519</v>
      </c>
      <c r="P24" s="2">
        <f t="shared" si="9"/>
        <v>0.366664613792153</v>
      </c>
      <c r="Q24" s="2">
        <f t="shared" si="10"/>
        <v>0.625056152348585</v>
      </c>
      <c r="R24" s="2">
        <f t="shared" si="11"/>
        <v>4.33413206411484</v>
      </c>
      <c r="S24" s="2">
        <f t="shared" si="12"/>
        <v>0.514171151424804</v>
      </c>
      <c r="T24" s="2">
        <f t="shared" si="13"/>
        <v>-0.31570650826677</v>
      </c>
      <c r="U24" s="2">
        <f t="shared" si="14"/>
        <v>0.41090407275629</v>
      </c>
      <c r="V24" s="2">
        <f t="shared" si="15"/>
        <v>0.392970219732455</v>
      </c>
      <c r="W24" s="2">
        <f t="shared" si="16"/>
        <v>0.2438274120349</v>
      </c>
      <c r="X24" s="2">
        <f t="shared" si="17"/>
        <v>0.390391885166236</v>
      </c>
      <c r="Y24" s="2">
        <f t="shared" si="18"/>
        <v>1.0606866419205</v>
      </c>
      <c r="Z24" s="2">
        <f t="shared" si="19"/>
        <v>1.08185783955457</v>
      </c>
      <c r="AA24" s="2">
        <f t="shared" si="20"/>
        <v>3.05023303879912</v>
      </c>
      <c r="AB24" s="2">
        <f t="shared" si="21"/>
        <v>0.19504440610555</v>
      </c>
      <c r="AC24" s="2">
        <f t="shared" si="22"/>
        <v>1.50238606637824</v>
      </c>
      <c r="AD24" s="2">
        <f t="shared" si="23"/>
        <v>0.105988296031</v>
      </c>
      <c r="AE24" s="2">
        <f t="shared" si="24"/>
        <v>0.200762813191872</v>
      </c>
      <c r="AF24" s="2">
        <f t="shared" si="25"/>
        <v>0.145871547865224</v>
      </c>
      <c r="AG24" s="7">
        <f t="shared" si="26"/>
        <v>0.154663026154541</v>
      </c>
      <c r="AH24" s="2">
        <f t="shared" si="27"/>
        <v>40.7054555186468</v>
      </c>
      <c r="AI24" s="2">
        <f t="shared" si="28"/>
        <v>0.502386066378237</v>
      </c>
      <c r="AJ24" s="2">
        <f t="shared" si="29"/>
        <v>0.317585327108312</v>
      </c>
      <c r="AK24" s="2">
        <f t="shared" si="30"/>
        <v>0.178614135876583</v>
      </c>
      <c r="AL24" s="2">
        <f t="shared" si="31"/>
        <v>0.178719918691156</v>
      </c>
      <c r="AM24" s="2">
        <f t="shared" si="32"/>
        <v>4.33413206411484</v>
      </c>
      <c r="AN24" s="2">
        <f t="shared" si="33"/>
        <v>0.1378391160039</v>
      </c>
      <c r="AO24" s="2">
        <f t="shared" si="34"/>
        <v>0.485177281115954</v>
      </c>
      <c r="AP24" s="2">
        <f t="shared" si="35"/>
        <v>2.8848324416127</v>
      </c>
      <c r="AQ24" s="2">
        <f t="shared" si="36"/>
        <v>0.1263637416957</v>
      </c>
      <c r="AR24" s="2">
        <f t="shared" si="37"/>
        <v>0.427517080256253</v>
      </c>
      <c r="AS24" s="2">
        <f t="shared" si="38"/>
        <v>0.768927566453642</v>
      </c>
      <c r="AT24" s="2">
        <f t="shared" si="39"/>
        <v>0.138124698442233</v>
      </c>
      <c r="AU24" s="2">
        <f t="shared" si="40"/>
        <v>0.344421395698218</v>
      </c>
      <c r="AV24" s="2">
        <f t="shared" si="41"/>
        <v>0.12166982827376</v>
      </c>
      <c r="AW24" s="2">
        <f t="shared" si="42"/>
        <v>0.52733310395665</v>
      </c>
      <c r="AX24" s="2">
        <f t="shared" si="43"/>
        <v>-0.0203754456647</v>
      </c>
      <c r="AY24" s="7">
        <f t="shared" si="44"/>
        <v>1.0493878789292</v>
      </c>
      <c r="AZ24" s="2">
        <f t="shared" si="45"/>
        <v>0.136005781028698</v>
      </c>
      <c r="BA24" s="2">
        <f t="shared" si="46"/>
        <v>0.767182434145285</v>
      </c>
      <c r="BB24" s="2">
        <f t="shared" si="47"/>
        <v>0.0894188463611093</v>
      </c>
      <c r="BC24" s="2">
        <f t="shared" si="48"/>
        <v>0.786098395743517</v>
      </c>
      <c r="BD24" s="2">
        <f t="shared" si="49"/>
        <v>0.0981711442276206</v>
      </c>
      <c r="BE24" s="2">
        <f t="shared" si="50"/>
        <v>-0.0445042907606519</v>
      </c>
      <c r="BF24" s="2">
        <f t="shared" si="51"/>
        <v>0.346969867583202</v>
      </c>
    </row>
    <row r="25" s="2" customFormat="1" spans="1:58">
      <c r="A25" s="5">
        <v>242</v>
      </c>
      <c r="B25" s="6">
        <v>0.0468162055588</v>
      </c>
      <c r="C25" s="6">
        <v>0.0880473192902</v>
      </c>
      <c r="D25" s="6">
        <v>0.0810789529564</v>
      </c>
      <c r="E25" s="6">
        <v>0.214953588348</v>
      </c>
      <c r="F25" s="6">
        <v>0.311840082203</v>
      </c>
      <c r="G25" s="2">
        <f t="shared" si="0"/>
        <v>3.54173283998788</v>
      </c>
      <c r="H25" s="2">
        <f t="shared" si="1"/>
        <v>0.2237927629128</v>
      </c>
      <c r="I25" s="2">
        <f t="shared" si="2"/>
        <v>0.559639443696267</v>
      </c>
      <c r="J25" s="2">
        <f t="shared" si="3"/>
        <v>-0.403500950934519</v>
      </c>
      <c r="K25" s="2">
        <f t="shared" si="4"/>
        <v>2.54173283998788</v>
      </c>
      <c r="L25" s="2">
        <f t="shared" si="5"/>
        <v>1.19266673995519</v>
      </c>
      <c r="M25" s="2">
        <f t="shared" si="6"/>
        <v>0.373034608343427</v>
      </c>
      <c r="N25" s="2">
        <f t="shared" si="7"/>
        <v>0.351950102701627</v>
      </c>
      <c r="O25" s="2">
        <f t="shared" si="8"/>
        <v>0.463663951513295</v>
      </c>
      <c r="P25" s="2">
        <f t="shared" si="9"/>
        <v>0.353897241215257</v>
      </c>
      <c r="Q25" s="2">
        <f t="shared" si="10"/>
        <v>0.587299439827303</v>
      </c>
      <c r="R25" s="2">
        <f t="shared" si="11"/>
        <v>3.84612862934591</v>
      </c>
      <c r="S25" s="2">
        <f t="shared" si="12"/>
        <v>0.484126776081938</v>
      </c>
      <c r="T25" s="2">
        <f t="shared" si="13"/>
        <v>-0.368423885861074</v>
      </c>
      <c r="U25" s="2">
        <f t="shared" si="14"/>
        <v>0.387651825350669</v>
      </c>
      <c r="V25" s="2">
        <f t="shared" si="15"/>
        <v>0.367360543215913</v>
      </c>
      <c r="W25" s="2">
        <f t="shared" si="16"/>
        <v>0.2307611292466</v>
      </c>
      <c r="X25" s="2">
        <f t="shared" si="17"/>
        <v>0.368138400524102</v>
      </c>
      <c r="Y25" s="2">
        <f t="shared" si="18"/>
        <v>1.04273651505416</v>
      </c>
      <c r="Z25" s="2">
        <f t="shared" si="19"/>
        <v>0.961154922321515</v>
      </c>
      <c r="AA25" s="2">
        <f t="shared" si="20"/>
        <v>2.99579588797931</v>
      </c>
      <c r="AB25" s="2">
        <f t="shared" si="21"/>
        <v>0.1964595175797</v>
      </c>
      <c r="AC25" s="2">
        <f t="shared" si="22"/>
        <v>1.45073215385521</v>
      </c>
      <c r="AD25" s="2">
        <f t="shared" si="23"/>
        <v>0.096886493855</v>
      </c>
      <c r="AE25" s="2">
        <f t="shared" si="24"/>
        <v>0.183917346147423</v>
      </c>
      <c r="AF25" s="2">
        <f t="shared" si="25"/>
        <v>0.133488227298666</v>
      </c>
      <c r="AG25" s="7">
        <f t="shared" si="26"/>
        <v>0.141537433420789</v>
      </c>
      <c r="AH25" s="2">
        <f t="shared" si="27"/>
        <v>37.206836268961</v>
      </c>
      <c r="AI25" s="2">
        <f t="shared" si="28"/>
        <v>0.450732153855209</v>
      </c>
      <c r="AJ25" s="2">
        <f t="shared" si="29"/>
        <v>0.287919192761376</v>
      </c>
      <c r="AK25" s="2">
        <f t="shared" si="30"/>
        <v>0.162758027391091</v>
      </c>
      <c r="AL25" s="2">
        <f t="shared" si="31"/>
        <v>0.163642062661459</v>
      </c>
      <c r="AM25" s="2">
        <f t="shared" si="32"/>
        <v>3.84612862934591</v>
      </c>
      <c r="AN25" s="2">
        <f t="shared" si="33"/>
        <v>0.1338746353916</v>
      </c>
      <c r="AO25" s="2">
        <f t="shared" si="34"/>
        <v>0.452229456943186</v>
      </c>
      <c r="AP25" s="2">
        <f t="shared" si="35"/>
        <v>2.65116384104751</v>
      </c>
      <c r="AQ25" s="2">
        <f t="shared" si="36"/>
        <v>0.1269062690578</v>
      </c>
      <c r="AR25" s="2">
        <f t="shared" si="37"/>
        <v>0.418831316536296</v>
      </c>
      <c r="AS25" s="2">
        <f t="shared" si="38"/>
        <v>0.723710608597327</v>
      </c>
      <c r="AT25" s="2">
        <f t="shared" si="39"/>
        <v>0.143203398512745</v>
      </c>
      <c r="AU25" s="2">
        <f t="shared" si="40"/>
        <v>0.349608422176794</v>
      </c>
      <c r="AV25" s="2">
        <f t="shared" si="41"/>
        <v>0.133381484575794</v>
      </c>
      <c r="AW25" s="2">
        <f t="shared" si="42"/>
        <v>0.513002346451623</v>
      </c>
      <c r="AX25" s="2">
        <f t="shared" si="43"/>
        <v>-0.0300197752028</v>
      </c>
      <c r="AY25" s="7">
        <f t="shared" si="44"/>
        <v>1.03113758569805</v>
      </c>
      <c r="AZ25" s="2">
        <f t="shared" si="45"/>
        <v>0.124776116031142</v>
      </c>
      <c r="BA25" s="2">
        <f t="shared" si="46"/>
        <v>0.778391462621102</v>
      </c>
      <c r="BB25" s="2">
        <f t="shared" si="47"/>
        <v>0.0756236805182048</v>
      </c>
      <c r="BC25" s="2">
        <f t="shared" si="48"/>
        <v>0.768607753839725</v>
      </c>
      <c r="BD25" s="2">
        <f t="shared" si="49"/>
        <v>0.0897959275302119</v>
      </c>
      <c r="BE25" s="2">
        <f t="shared" si="50"/>
        <v>-0.058457228578968</v>
      </c>
      <c r="BF25" s="2">
        <f t="shared" si="51"/>
        <v>0.328635424502425</v>
      </c>
    </row>
    <row r="26" s="2" customFormat="1" spans="1:58">
      <c r="A26" s="5">
        <v>232</v>
      </c>
      <c r="B26" s="6">
        <v>0.0424399190791</v>
      </c>
      <c r="C26" s="6">
        <v>0.0796647583535</v>
      </c>
      <c r="D26" s="6">
        <v>0.0702499441137</v>
      </c>
      <c r="E26" s="6">
        <v>0.207341247487</v>
      </c>
      <c r="F26" s="6">
        <v>0.313324985616</v>
      </c>
      <c r="G26" s="2">
        <f t="shared" si="0"/>
        <v>3.93304382128003</v>
      </c>
      <c r="H26" s="2">
        <f t="shared" si="1"/>
        <v>0.2336602272625</v>
      </c>
      <c r="I26" s="2">
        <f t="shared" si="2"/>
        <v>0.594570802032519</v>
      </c>
      <c r="J26" s="2">
        <f t="shared" si="3"/>
        <v>-0.358727720221643</v>
      </c>
      <c r="K26" s="2">
        <f t="shared" si="4"/>
        <v>2.93304382128003</v>
      </c>
      <c r="L26" s="2">
        <f t="shared" si="5"/>
        <v>1.3205688990791</v>
      </c>
      <c r="M26" s="2">
        <f t="shared" si="6"/>
        <v>0.39249089170471</v>
      </c>
      <c r="N26" s="2">
        <f t="shared" si="7"/>
        <v>0.372669703448332</v>
      </c>
      <c r="O26" s="2">
        <f t="shared" si="8"/>
        <v>0.490146275912577</v>
      </c>
      <c r="P26" s="2">
        <f t="shared" si="9"/>
        <v>0.372729860256145</v>
      </c>
      <c r="Q26" s="2">
        <f t="shared" si="10"/>
        <v>0.633709407634101</v>
      </c>
      <c r="R26" s="2">
        <f t="shared" si="11"/>
        <v>4.46014569219986</v>
      </c>
      <c r="S26" s="2">
        <f t="shared" si="12"/>
        <v>0.518727102228353</v>
      </c>
      <c r="T26" s="2">
        <f t="shared" si="13"/>
        <v>-0.302747019274693</v>
      </c>
      <c r="U26" s="2">
        <f t="shared" si="14"/>
        <v>0.41265607475417</v>
      </c>
      <c r="V26" s="2">
        <f t="shared" si="15"/>
        <v>0.394579897020723</v>
      </c>
      <c r="W26" s="2">
        <f t="shared" si="16"/>
        <v>0.2430750415023</v>
      </c>
      <c r="X26" s="2">
        <f t="shared" si="17"/>
        <v>0.392477949139894</v>
      </c>
      <c r="Y26" s="2">
        <f t="shared" si="18"/>
        <v>1.06475791034117</v>
      </c>
      <c r="Z26" s="2">
        <f t="shared" si="19"/>
        <v>1.11190570154064</v>
      </c>
      <c r="AA26" s="2">
        <f t="shared" si="20"/>
        <v>3.06074072780358</v>
      </c>
      <c r="AB26" s="2">
        <f t="shared" si="21"/>
        <v>0.19178746486485</v>
      </c>
      <c r="AC26" s="2">
        <f t="shared" si="22"/>
        <v>1.51115607441132</v>
      </c>
      <c r="AD26" s="2">
        <f t="shared" si="23"/>
        <v>0.105983738129</v>
      </c>
      <c r="AE26" s="2">
        <f t="shared" si="24"/>
        <v>0.203554083961565</v>
      </c>
      <c r="AF26" s="2">
        <f t="shared" si="25"/>
        <v>0.146878939026911</v>
      </c>
      <c r="AG26" s="7">
        <f t="shared" si="26"/>
        <v>0.155756702864742</v>
      </c>
      <c r="AH26" s="2">
        <f t="shared" si="27"/>
        <v>41.2874970088247</v>
      </c>
      <c r="AI26" s="2">
        <f t="shared" si="28"/>
        <v>0.511156074411315</v>
      </c>
      <c r="AJ26" s="2">
        <f t="shared" si="29"/>
        <v>0.322564577237156</v>
      </c>
      <c r="AK26" s="2">
        <f t="shared" si="30"/>
        <v>0.179923175550186</v>
      </c>
      <c r="AL26" s="2">
        <f t="shared" si="31"/>
        <v>0.180618826453576</v>
      </c>
      <c r="AM26" s="2">
        <f t="shared" si="32"/>
        <v>4.46014569219986</v>
      </c>
      <c r="AN26" s="2">
        <f t="shared" si="33"/>
        <v>0.1370913033733</v>
      </c>
      <c r="AO26" s="2">
        <f t="shared" si="34"/>
        <v>0.493860423246061</v>
      </c>
      <c r="AP26" s="2">
        <f t="shared" si="35"/>
        <v>2.95147918055873</v>
      </c>
      <c r="AQ26" s="2">
        <f t="shared" si="36"/>
        <v>0.1276764891335</v>
      </c>
      <c r="AR26" s="2">
        <f t="shared" si="37"/>
        <v>0.444856506607233</v>
      </c>
      <c r="AS26" s="2">
        <f t="shared" si="38"/>
        <v>0.773088704543176</v>
      </c>
      <c r="AT26" s="2">
        <f t="shared" si="39"/>
        <v>0.132701392210688</v>
      </c>
      <c r="AU26" s="2">
        <f t="shared" si="40"/>
        <v>0.345378217079809</v>
      </c>
      <c r="AV26" s="2">
        <f t="shared" si="41"/>
        <v>0.118883095136416</v>
      </c>
      <c r="AW26" s="2">
        <f t="shared" si="42"/>
        <v>0.53023592464807</v>
      </c>
      <c r="AX26" s="2">
        <f t="shared" si="43"/>
        <v>-0.0216927510045</v>
      </c>
      <c r="AY26" s="7">
        <f t="shared" si="44"/>
        <v>1.04029275478374</v>
      </c>
      <c r="AZ26" s="2">
        <f t="shared" si="45"/>
        <v>0.135191148609226</v>
      </c>
      <c r="BA26" s="2">
        <f t="shared" si="46"/>
        <v>0.734254900753665</v>
      </c>
      <c r="BB26" s="2">
        <f t="shared" si="47"/>
        <v>0.0895385553072454</v>
      </c>
      <c r="BC26" s="2">
        <f t="shared" si="48"/>
        <v>0.777553902115923</v>
      </c>
      <c r="BD26" s="2">
        <f t="shared" si="49"/>
        <v>0.09755661908461</v>
      </c>
      <c r="BE26" s="2">
        <f t="shared" si="50"/>
        <v>-0.0465587401425001</v>
      </c>
      <c r="BF26" s="2">
        <f t="shared" si="51"/>
        <v>0.3423546586306</v>
      </c>
    </row>
    <row r="27" s="2" customFormat="1" spans="1:58">
      <c r="A27" s="5">
        <v>229</v>
      </c>
      <c r="B27" s="6">
        <v>0.0442159865959</v>
      </c>
      <c r="C27" s="6">
        <v>0.0809266969898</v>
      </c>
      <c r="D27" s="6">
        <v>0.0724803620934</v>
      </c>
      <c r="E27" s="6">
        <v>0.206601598132</v>
      </c>
      <c r="F27" s="6">
        <v>0.305606972491</v>
      </c>
      <c r="G27" s="2">
        <f t="shared" si="0"/>
        <v>3.77634308403219</v>
      </c>
      <c r="H27" s="2">
        <f t="shared" si="1"/>
        <v>0.2246802755012</v>
      </c>
      <c r="I27" s="2">
        <f t="shared" si="2"/>
        <v>0.581269610492134</v>
      </c>
      <c r="J27" s="2">
        <f t="shared" si="3"/>
        <v>-0.376309827962564</v>
      </c>
      <c r="K27" s="2">
        <f t="shared" si="4"/>
        <v>2.77634308403219</v>
      </c>
      <c r="L27" s="2">
        <f t="shared" si="5"/>
        <v>1.27035580175316</v>
      </c>
      <c r="M27" s="2">
        <f t="shared" si="6"/>
        <v>0.380155232512688</v>
      </c>
      <c r="N27" s="2">
        <f t="shared" si="7"/>
        <v>0.358793764177151</v>
      </c>
      <c r="O27" s="2">
        <f t="shared" si="8"/>
        <v>0.476876602733344</v>
      </c>
      <c r="P27" s="2">
        <f t="shared" si="9"/>
        <v>0.361385965728953</v>
      </c>
      <c r="Q27" s="2">
        <f t="shared" si="10"/>
        <v>0.616594604137842</v>
      </c>
      <c r="R27" s="2">
        <f t="shared" si="11"/>
        <v>4.21641067544871</v>
      </c>
      <c r="S27" s="2">
        <f t="shared" si="12"/>
        <v>0.502570587858353</v>
      </c>
      <c r="T27" s="2">
        <f t="shared" si="13"/>
        <v>-0.328048337480325</v>
      </c>
      <c r="U27" s="2">
        <f t="shared" si="14"/>
        <v>0.398240473155109</v>
      </c>
      <c r="V27" s="2">
        <f t="shared" si="15"/>
        <v>0.378115015454479</v>
      </c>
      <c r="W27" s="2">
        <f t="shared" si="16"/>
        <v>0.2331266103976</v>
      </c>
      <c r="X27" s="2">
        <f t="shared" si="17"/>
        <v>0.379136664083158</v>
      </c>
      <c r="Y27" s="2">
        <f t="shared" si="18"/>
        <v>1.0566904012708</v>
      </c>
      <c r="Z27" s="2">
        <f t="shared" si="19"/>
        <v>1.05339004464537</v>
      </c>
      <c r="AA27" s="2">
        <f t="shared" si="20"/>
        <v>3.03441768608999</v>
      </c>
      <c r="AB27" s="2">
        <f t="shared" si="21"/>
        <v>0.1890436672922</v>
      </c>
      <c r="AC27" s="2">
        <f t="shared" si="22"/>
        <v>1.47920914094645</v>
      </c>
      <c r="AD27" s="2">
        <f t="shared" si="23"/>
        <v>0.099005374359</v>
      </c>
      <c r="AE27" s="2">
        <f t="shared" si="24"/>
        <v>0.193291131850019</v>
      </c>
      <c r="AF27" s="2">
        <f t="shared" si="25"/>
        <v>0.138336043275373</v>
      </c>
      <c r="AG27" s="7">
        <f t="shared" si="26"/>
        <v>0.146716858411005</v>
      </c>
      <c r="AH27" s="2">
        <f t="shared" si="27"/>
        <v>39.1507580727209</v>
      </c>
      <c r="AI27" s="2">
        <f t="shared" si="28"/>
        <v>0.479209140946453</v>
      </c>
      <c r="AJ27" s="2">
        <f t="shared" si="29"/>
        <v>0.304346639945992</v>
      </c>
      <c r="AK27" s="2">
        <f t="shared" si="30"/>
        <v>0.169126755038312</v>
      </c>
      <c r="AL27" s="2">
        <f t="shared" si="31"/>
        <v>0.170849107368567</v>
      </c>
      <c r="AM27" s="2">
        <f t="shared" si="32"/>
        <v>4.21641067544871</v>
      </c>
      <c r="AN27" s="2">
        <f t="shared" si="33"/>
        <v>0.1341212360386</v>
      </c>
      <c r="AO27" s="2">
        <f t="shared" si="34"/>
        <v>0.480580098872307</v>
      </c>
      <c r="AP27" s="2">
        <f t="shared" si="35"/>
        <v>2.85044931019754</v>
      </c>
      <c r="AQ27" s="2">
        <f t="shared" si="36"/>
        <v>0.1256749011422</v>
      </c>
      <c r="AR27" s="2">
        <f t="shared" si="37"/>
        <v>0.437087073774645</v>
      </c>
      <c r="AS27" s="2">
        <f t="shared" si="38"/>
        <v>0.738178213109416</v>
      </c>
      <c r="AT27" s="2">
        <f t="shared" si="39"/>
        <v>0.136438855365163</v>
      </c>
      <c r="AU27" s="2">
        <f t="shared" si="40"/>
        <v>0.348321216783336</v>
      </c>
      <c r="AV27" s="2">
        <f t="shared" si="41"/>
        <v>0.123963971332011</v>
      </c>
      <c r="AW27" s="2">
        <f t="shared" si="42"/>
        <v>0.52268301209531</v>
      </c>
      <c r="AX27" s="2">
        <f t="shared" si="43"/>
        <v>-0.0266695267832</v>
      </c>
      <c r="AY27" s="7">
        <f t="shared" si="44"/>
        <v>1.03759268532833</v>
      </c>
      <c r="AZ27" s="2">
        <f t="shared" si="45"/>
        <v>0.127698361971055</v>
      </c>
      <c r="BA27" s="2">
        <f t="shared" si="46"/>
        <v>0.744555199206057</v>
      </c>
      <c r="BB27" s="2">
        <f t="shared" si="47"/>
        <v>0.0799798312923099</v>
      </c>
      <c r="BC27" s="2">
        <f t="shared" si="48"/>
        <v>0.755286853167245</v>
      </c>
      <c r="BD27" s="2">
        <f t="shared" si="49"/>
        <v>0.0901103152182046</v>
      </c>
      <c r="BE27" s="2">
        <f t="shared" si="50"/>
        <v>-0.0534851067048719</v>
      </c>
      <c r="BF27" s="2">
        <f t="shared" si="51"/>
        <v>0.332532663605737</v>
      </c>
    </row>
    <row r="28" s="2" customFormat="1" spans="1:58">
      <c r="A28" s="5">
        <v>221</v>
      </c>
      <c r="B28" s="6">
        <v>0.0447603742839</v>
      </c>
      <c r="C28" s="6">
        <v>0.0818442329407</v>
      </c>
      <c r="D28" s="6">
        <v>0.0740127095819</v>
      </c>
      <c r="E28" s="6">
        <v>0.201342912049</v>
      </c>
      <c r="F28" s="6">
        <v>0.298750012712</v>
      </c>
      <c r="G28" s="2">
        <f t="shared" si="0"/>
        <v>3.65022680252204</v>
      </c>
      <c r="H28" s="2">
        <f t="shared" si="1"/>
        <v>0.2169057797713</v>
      </c>
      <c r="I28" s="2">
        <f t="shared" si="2"/>
        <v>0.569913450476156</v>
      </c>
      <c r="J28" s="2">
        <f t="shared" si="3"/>
        <v>-0.390794261281272</v>
      </c>
      <c r="K28" s="2">
        <f t="shared" si="4"/>
        <v>2.65022680252204</v>
      </c>
      <c r="L28" s="2">
        <f t="shared" si="5"/>
        <v>1.22898327961357</v>
      </c>
      <c r="M28" s="2">
        <f t="shared" si="6"/>
        <v>0.369476261357798</v>
      </c>
      <c r="N28" s="2">
        <f t="shared" si="7"/>
        <v>0.346876110760559</v>
      </c>
      <c r="O28" s="2">
        <f t="shared" si="8"/>
        <v>0.465433560490307</v>
      </c>
      <c r="P28" s="2">
        <f t="shared" si="9"/>
        <v>0.351592834650655</v>
      </c>
      <c r="Q28" s="2">
        <f t="shared" si="10"/>
        <v>0.602896399476632</v>
      </c>
      <c r="R28" s="2">
        <f t="shared" si="11"/>
        <v>4.03646906591649</v>
      </c>
      <c r="S28" s="2">
        <f t="shared" si="12"/>
        <v>0.489327163335393</v>
      </c>
      <c r="T28" s="2">
        <f t="shared" si="13"/>
        <v>-0.347367252016688</v>
      </c>
      <c r="U28" s="2">
        <f t="shared" si="14"/>
        <v>0.38625155048915</v>
      </c>
      <c r="V28" s="2">
        <f t="shared" si="15"/>
        <v>0.364553079803418</v>
      </c>
      <c r="W28" s="2">
        <f t="shared" si="16"/>
        <v>0.2247373031301</v>
      </c>
      <c r="X28" s="2">
        <f t="shared" si="17"/>
        <v>0.368094160351975</v>
      </c>
      <c r="Y28" s="2">
        <f t="shared" si="18"/>
        <v>1.05018874469146</v>
      </c>
      <c r="Z28" s="2">
        <f t="shared" si="19"/>
        <v>1.00909657953929</v>
      </c>
      <c r="AA28" s="2">
        <f t="shared" si="20"/>
        <v>3.01407723087202</v>
      </c>
      <c r="AB28" s="2">
        <f t="shared" si="21"/>
        <v>0.18638136114695</v>
      </c>
      <c r="AC28" s="2">
        <f t="shared" si="22"/>
        <v>1.48378708578177</v>
      </c>
      <c r="AD28" s="2">
        <f t="shared" si="23"/>
        <v>0.097407100663</v>
      </c>
      <c r="AE28" s="2">
        <f t="shared" si="24"/>
        <v>0.194778001927446</v>
      </c>
      <c r="AF28" s="2">
        <f t="shared" si="25"/>
        <v>0.13774164381437</v>
      </c>
      <c r="AG28" s="7">
        <f t="shared" si="26"/>
        <v>0.146097074958727</v>
      </c>
      <c r="AH28" s="2">
        <f t="shared" si="27"/>
        <v>39.4597661259045</v>
      </c>
      <c r="AI28" s="2">
        <f t="shared" si="28"/>
        <v>0.483787085781765</v>
      </c>
      <c r="AJ28" s="2">
        <f t="shared" si="29"/>
        <v>0.306970816083344</v>
      </c>
      <c r="AK28" s="2">
        <f t="shared" si="30"/>
        <v>0.16741165412115</v>
      </c>
      <c r="AL28" s="2">
        <f t="shared" si="31"/>
        <v>0.171176257963969</v>
      </c>
      <c r="AM28" s="2">
        <f t="shared" si="32"/>
        <v>4.03646906591649</v>
      </c>
      <c r="AN28" s="2">
        <f t="shared" si="33"/>
        <v>0.1273302024671</v>
      </c>
      <c r="AO28" s="2">
        <f t="shared" si="34"/>
        <v>0.462420929389194</v>
      </c>
      <c r="AP28" s="2">
        <f t="shared" si="35"/>
        <v>2.7203829340446</v>
      </c>
      <c r="AQ28" s="2">
        <f t="shared" si="36"/>
        <v>0.1194986791083</v>
      </c>
      <c r="AR28" s="2">
        <f t="shared" si="37"/>
        <v>0.421977767079245</v>
      </c>
      <c r="AS28" s="2">
        <f t="shared" si="38"/>
        <v>0.764996040025683</v>
      </c>
      <c r="AT28" s="2">
        <f t="shared" si="39"/>
        <v>0.140641015713682</v>
      </c>
      <c r="AU28" s="2">
        <f t="shared" si="40"/>
        <v>0.345987379194315</v>
      </c>
      <c r="AV28" s="2">
        <f t="shared" si="41"/>
        <v>0.128918277673084</v>
      </c>
      <c r="AW28" s="2">
        <f t="shared" si="42"/>
        <v>0.520374639858635</v>
      </c>
      <c r="AX28" s="2">
        <f t="shared" si="43"/>
        <v>-0.0220915784453</v>
      </c>
      <c r="AY28" s="7">
        <f t="shared" si="44"/>
        <v>1.03610564627212</v>
      </c>
      <c r="AZ28" s="2">
        <f t="shared" si="45"/>
        <v>0.128642827678881</v>
      </c>
      <c r="BA28" s="2">
        <f t="shared" si="46"/>
        <v>0.776135867562465</v>
      </c>
      <c r="BB28" s="2">
        <f t="shared" si="47"/>
        <v>0.0801629990559881</v>
      </c>
      <c r="BC28" s="2">
        <f t="shared" si="48"/>
        <v>0.738259930901183</v>
      </c>
      <c r="BD28" s="2">
        <f t="shared" si="49"/>
        <v>0.0921439171422814</v>
      </c>
      <c r="BE28" s="2">
        <f t="shared" si="50"/>
        <v>-0.046151714454228</v>
      </c>
      <c r="BF28" s="2">
        <f t="shared" si="51"/>
        <v>0.341767687294818</v>
      </c>
    </row>
    <row r="29" s="2" customFormat="1" spans="1:58">
      <c r="A29" s="5">
        <v>235</v>
      </c>
      <c r="B29" s="6">
        <v>0.0465855415674</v>
      </c>
      <c r="C29" s="6">
        <v>0.08480796844</v>
      </c>
      <c r="D29" s="6">
        <v>0.0779492252309</v>
      </c>
      <c r="E29" s="6">
        <v>0.207444079565</v>
      </c>
      <c r="F29" s="6">
        <v>0.299417931431</v>
      </c>
      <c r="G29" s="2">
        <f t="shared" si="0"/>
        <v>3.53054007705458</v>
      </c>
      <c r="H29" s="2">
        <f t="shared" si="1"/>
        <v>0.214609962991</v>
      </c>
      <c r="I29" s="2">
        <f t="shared" si="2"/>
        <v>0.55855152675302</v>
      </c>
      <c r="J29" s="2">
        <f t="shared" si="3"/>
        <v>-0.404825059248649</v>
      </c>
      <c r="K29" s="2">
        <f t="shared" si="4"/>
        <v>2.53054007705458</v>
      </c>
      <c r="L29" s="2">
        <f t="shared" si="5"/>
        <v>1.1888805758143</v>
      </c>
      <c r="M29" s="2">
        <f t="shared" si="6"/>
        <v>0.364064143035693</v>
      </c>
      <c r="N29" s="2">
        <f t="shared" si="7"/>
        <v>0.341325033525543</v>
      </c>
      <c r="O29" s="2">
        <f t="shared" si="8"/>
        <v>0.457434232969377</v>
      </c>
      <c r="P29" s="2">
        <f t="shared" si="9"/>
        <v>0.346223515210958</v>
      </c>
      <c r="Q29" s="2">
        <f t="shared" si="10"/>
        <v>0.586878593672961</v>
      </c>
      <c r="R29" s="2">
        <f t="shared" si="11"/>
        <v>3.8411918854109</v>
      </c>
      <c r="S29" s="2">
        <f t="shared" si="12"/>
        <v>0.478078527887692</v>
      </c>
      <c r="T29" s="2">
        <f t="shared" si="13"/>
        <v>-0.368978778819744</v>
      </c>
      <c r="U29" s="2">
        <f t="shared" si="14"/>
        <v>0.378636306109378</v>
      </c>
      <c r="V29" s="2">
        <f t="shared" si="15"/>
        <v>0.356550438050396</v>
      </c>
      <c r="W29" s="2">
        <f t="shared" si="16"/>
        <v>0.2214687062001</v>
      </c>
      <c r="X29" s="2">
        <f t="shared" si="17"/>
        <v>0.360520793904159</v>
      </c>
      <c r="Y29" s="2">
        <f t="shared" si="18"/>
        <v>1.04253469662787</v>
      </c>
      <c r="Z29" s="2">
        <f t="shared" si="19"/>
        <v>0.959895886370218</v>
      </c>
      <c r="AA29" s="2">
        <f t="shared" si="20"/>
        <v>2.99270084338033</v>
      </c>
      <c r="AB29" s="2">
        <f t="shared" si="21"/>
        <v>0.18868357833095</v>
      </c>
      <c r="AC29" s="2">
        <f t="shared" si="22"/>
        <v>1.44336696452781</v>
      </c>
      <c r="AD29" s="2">
        <f t="shared" si="23"/>
        <v>0.091973851866</v>
      </c>
      <c r="AE29" s="2">
        <f t="shared" si="24"/>
        <v>0.181457378676434</v>
      </c>
      <c r="AF29" s="2">
        <f t="shared" si="25"/>
        <v>0.129187205505727</v>
      </c>
      <c r="AG29" s="7">
        <f t="shared" si="26"/>
        <v>0.137020541337663</v>
      </c>
      <c r="AH29" s="2">
        <f t="shared" si="27"/>
        <v>36.6978554133354</v>
      </c>
      <c r="AI29" s="2">
        <f t="shared" si="28"/>
        <v>0.443366964527812</v>
      </c>
      <c r="AJ29" s="2">
        <f t="shared" si="29"/>
        <v>0.283640982890245</v>
      </c>
      <c r="AK29" s="2">
        <f t="shared" si="30"/>
        <v>0.157244064530403</v>
      </c>
      <c r="AL29" s="2">
        <f t="shared" si="31"/>
        <v>0.159987623234396</v>
      </c>
      <c r="AM29" s="2">
        <f t="shared" si="32"/>
        <v>3.8411918854109</v>
      </c>
      <c r="AN29" s="2">
        <f t="shared" si="33"/>
        <v>0.1294948543341</v>
      </c>
      <c r="AO29" s="2">
        <f t="shared" si="34"/>
        <v>0.453741738709353</v>
      </c>
      <c r="AP29" s="2">
        <f t="shared" si="35"/>
        <v>2.66127185934834</v>
      </c>
      <c r="AQ29" s="2">
        <f t="shared" si="36"/>
        <v>0.122636111125</v>
      </c>
      <c r="AR29" s="2">
        <f t="shared" si="37"/>
        <v>0.419624471281385</v>
      </c>
      <c r="AS29" s="2">
        <f t="shared" si="38"/>
        <v>0.710251016065126</v>
      </c>
      <c r="AT29" s="2">
        <f t="shared" si="39"/>
        <v>0.143336608899512</v>
      </c>
      <c r="AU29" s="2">
        <f t="shared" si="40"/>
        <v>0.350607748871664</v>
      </c>
      <c r="AV29" s="2">
        <f t="shared" si="41"/>
        <v>0.133289547810016</v>
      </c>
      <c r="AW29" s="2">
        <f t="shared" si="42"/>
        <v>0.511990729457923</v>
      </c>
      <c r="AX29" s="2">
        <f t="shared" si="43"/>
        <v>-0.030662259259</v>
      </c>
      <c r="AY29" s="7">
        <f t="shared" si="44"/>
        <v>1.03195910904373</v>
      </c>
      <c r="AZ29" s="2">
        <f t="shared" si="45"/>
        <v>0.12050938190108</v>
      </c>
      <c r="BA29" s="2">
        <f t="shared" si="46"/>
        <v>0.775664444520777</v>
      </c>
      <c r="BB29" s="2">
        <f t="shared" si="47"/>
        <v>0.0707998332158099</v>
      </c>
      <c r="BC29" s="2">
        <f t="shared" si="48"/>
        <v>0.736585429784672</v>
      </c>
      <c r="BD29" s="2">
        <f t="shared" si="49"/>
        <v>0.0841251870744359</v>
      </c>
      <c r="BE29" s="2">
        <f t="shared" si="50"/>
        <v>-0.05886998666796</v>
      </c>
      <c r="BF29" s="2">
        <f t="shared" si="51"/>
        <v>0.324871332339354</v>
      </c>
    </row>
    <row r="30" s="2" customFormat="1" spans="1:58">
      <c r="A30" s="5">
        <v>195.5</v>
      </c>
      <c r="B30" s="6">
        <v>0.0564652162901</v>
      </c>
      <c r="C30" s="6">
        <v>0.104474367547</v>
      </c>
      <c r="D30" s="6">
        <v>0.0975308551678</v>
      </c>
      <c r="E30" s="6">
        <v>0.245343402449</v>
      </c>
      <c r="F30" s="6">
        <v>0.334520870683</v>
      </c>
      <c r="G30" s="2">
        <f t="shared" si="0"/>
        <v>3.20194205083375</v>
      </c>
      <c r="H30" s="2">
        <f t="shared" si="1"/>
        <v>0.230046503136</v>
      </c>
      <c r="I30" s="2">
        <f t="shared" si="2"/>
        <v>0.524029609212921</v>
      </c>
      <c r="J30" s="2">
        <f t="shared" si="3"/>
        <v>-0.444843413928614</v>
      </c>
      <c r="K30" s="2">
        <f t="shared" si="4"/>
        <v>2.20194205083375</v>
      </c>
      <c r="L30" s="2">
        <f t="shared" si="5"/>
        <v>1.07418938386483</v>
      </c>
      <c r="M30" s="2">
        <f t="shared" si="6"/>
        <v>0.367488290307472</v>
      </c>
      <c r="N30" s="2">
        <f t="shared" si="7"/>
        <v>0.348380893584313</v>
      </c>
      <c r="O30" s="2">
        <f t="shared" si="8"/>
        <v>0.445502612719092</v>
      </c>
      <c r="P30" s="2">
        <f t="shared" si="9"/>
        <v>0.347204808634842</v>
      </c>
      <c r="Q30" s="2">
        <f t="shared" si="10"/>
        <v>0.548522321137631</v>
      </c>
      <c r="R30" s="2">
        <f t="shared" si="11"/>
        <v>3.42989785240233</v>
      </c>
      <c r="S30" s="2">
        <f t="shared" si="12"/>
        <v>0.464331756828474</v>
      </c>
      <c r="T30" s="2">
        <f t="shared" si="13"/>
        <v>-0.416844266979723</v>
      </c>
      <c r="U30" s="2">
        <f t="shared" si="14"/>
        <v>0.381400531122138</v>
      </c>
      <c r="V30" s="2">
        <f t="shared" si="15"/>
        <v>0.362880061830424</v>
      </c>
      <c r="W30" s="2">
        <f t="shared" si="16"/>
        <v>0.2369900155152</v>
      </c>
      <c r="X30" s="2">
        <f t="shared" si="17"/>
        <v>0.360547241560438</v>
      </c>
      <c r="Y30" s="2">
        <f t="shared" si="18"/>
        <v>1.02397378928253</v>
      </c>
      <c r="Z30" s="2">
        <f t="shared" si="19"/>
        <v>0.851998340280663</v>
      </c>
      <c r="AA30" s="2">
        <f t="shared" si="20"/>
        <v>2.94460320093475</v>
      </c>
      <c r="AB30" s="2">
        <f t="shared" si="21"/>
        <v>0.2160258629254</v>
      </c>
      <c r="AC30" s="2">
        <f t="shared" si="22"/>
        <v>1.36348019691517</v>
      </c>
      <c r="AD30" s="2">
        <f t="shared" si="23"/>
        <v>0.089177468234</v>
      </c>
      <c r="AE30" s="2">
        <f t="shared" si="24"/>
        <v>0.15379024431412</v>
      </c>
      <c r="AF30" s="2">
        <f t="shared" si="25"/>
        <v>0.1171094557541</v>
      </c>
      <c r="AG30" s="7">
        <f t="shared" si="26"/>
        <v>0.12387316228458</v>
      </c>
      <c r="AH30" s="2">
        <f t="shared" si="27"/>
        <v>31.0040399483455</v>
      </c>
      <c r="AI30" s="2">
        <f t="shared" si="28"/>
        <v>0.363480196915169</v>
      </c>
      <c r="AJ30" s="2">
        <f t="shared" si="29"/>
        <v>0.236431191442517</v>
      </c>
      <c r="AK30" s="2">
        <f t="shared" si="30"/>
        <v>0.143518002961579</v>
      </c>
      <c r="AL30" s="2">
        <f t="shared" si="31"/>
        <v>0.139817351517099</v>
      </c>
      <c r="AM30" s="2">
        <f t="shared" si="32"/>
        <v>3.42989785240233</v>
      </c>
      <c r="AN30" s="2">
        <f t="shared" si="33"/>
        <v>0.1478125472812</v>
      </c>
      <c r="AO30" s="2">
        <f t="shared" si="34"/>
        <v>0.431098409978613</v>
      </c>
      <c r="AP30" s="2">
        <f t="shared" si="35"/>
        <v>2.5155465111722</v>
      </c>
      <c r="AQ30" s="2">
        <f t="shared" si="36"/>
        <v>0.140869034902</v>
      </c>
      <c r="AR30" s="2">
        <f t="shared" si="37"/>
        <v>0.402692621657301</v>
      </c>
      <c r="AS30" s="2">
        <f t="shared" si="38"/>
        <v>0.603314602679487</v>
      </c>
      <c r="AT30" s="2">
        <f t="shared" si="39"/>
        <v>0.152664720851274</v>
      </c>
      <c r="AU30" s="2">
        <f t="shared" si="40"/>
        <v>0.358511689776235</v>
      </c>
      <c r="AV30" s="2">
        <f t="shared" si="41"/>
        <v>0.14397926866199</v>
      </c>
      <c r="AW30" s="2">
        <f t="shared" si="42"/>
        <v>0.493834184374217</v>
      </c>
      <c r="AX30" s="2">
        <f t="shared" si="43"/>
        <v>-0.051691566668</v>
      </c>
      <c r="AY30" s="7">
        <f t="shared" si="44"/>
        <v>1.03018308161413</v>
      </c>
      <c r="AZ30" s="2">
        <f t="shared" si="45"/>
        <v>0.110203201996397</v>
      </c>
      <c r="BA30" s="2">
        <f t="shared" si="46"/>
        <v>0.80375765573201</v>
      </c>
      <c r="BB30" s="2">
        <f t="shared" si="47"/>
        <v>0.0588589416689867</v>
      </c>
      <c r="BC30" s="2">
        <f t="shared" si="48"/>
        <v>0.816595096209545</v>
      </c>
      <c r="BD30" s="2">
        <f t="shared" si="49"/>
        <v>0.0736536888890438</v>
      </c>
      <c r="BE30" s="2">
        <f t="shared" si="50"/>
        <v>-0.0913401401901599</v>
      </c>
      <c r="BF30" s="2">
        <f t="shared" si="51"/>
        <v>0.293476249452983</v>
      </c>
    </row>
    <row r="31" s="2" customFormat="1" spans="1:58">
      <c r="A31" s="5">
        <v>217.5</v>
      </c>
      <c r="B31" s="6">
        <v>0.0576701366048</v>
      </c>
      <c r="C31" s="6">
        <v>0.102986594229</v>
      </c>
      <c r="D31" s="6">
        <v>0.103053877686</v>
      </c>
      <c r="E31" s="6">
        <v>0.216581559375</v>
      </c>
      <c r="F31" s="6">
        <v>0.288385217776</v>
      </c>
      <c r="G31" s="2">
        <f t="shared" si="0"/>
        <v>2.80022094074448</v>
      </c>
      <c r="H31" s="2">
        <f t="shared" si="1"/>
        <v>0.185398623547</v>
      </c>
      <c r="I31" s="2">
        <f t="shared" si="2"/>
        <v>0.473714809958341</v>
      </c>
      <c r="J31" s="2">
        <f t="shared" si="3"/>
        <v>-0.496976280564022</v>
      </c>
      <c r="K31" s="2">
        <f t="shared" si="4"/>
        <v>1.80022094074448</v>
      </c>
      <c r="L31" s="2">
        <f t="shared" si="5"/>
        <v>0.923467011228769</v>
      </c>
      <c r="M31" s="2">
        <f t="shared" si="6"/>
        <v>0.311988702778207</v>
      </c>
      <c r="N31" s="2">
        <f t="shared" si="7"/>
        <v>0.287631780929371</v>
      </c>
      <c r="O31" s="2">
        <f t="shared" si="8"/>
        <v>0.390049688126911</v>
      </c>
      <c r="P31" s="2">
        <f t="shared" si="9"/>
        <v>0.29635464180624</v>
      </c>
      <c r="Q31" s="2">
        <f t="shared" si="10"/>
        <v>0.473461496918852</v>
      </c>
      <c r="R31" s="2">
        <f t="shared" si="11"/>
        <v>2.79839268789764</v>
      </c>
      <c r="S31" s="2">
        <f t="shared" si="12"/>
        <v>0.389860559894261</v>
      </c>
      <c r="T31" s="2">
        <f t="shared" si="13"/>
        <v>-0.497222141012021</v>
      </c>
      <c r="U31" s="2">
        <f t="shared" si="14"/>
        <v>0.311851938680033</v>
      </c>
      <c r="V31" s="2">
        <f t="shared" si="15"/>
        <v>0.287497434507421</v>
      </c>
      <c r="W31" s="2">
        <f t="shared" si="16"/>
        <v>0.18533134009</v>
      </c>
      <c r="X31" s="2">
        <f t="shared" si="17"/>
        <v>0.29622162936725</v>
      </c>
      <c r="Y31" s="2">
        <f t="shared" si="18"/>
        <v>0.986641524019161</v>
      </c>
      <c r="Z31" s="2">
        <f t="shared" si="19"/>
        <v>0.67283970777168</v>
      </c>
      <c r="AA31" s="2">
        <f t="shared" si="20"/>
        <v>2.83985125577167</v>
      </c>
      <c r="AB31" s="2">
        <f t="shared" si="21"/>
        <v>0.195719547731</v>
      </c>
      <c r="AC31" s="2">
        <f t="shared" si="22"/>
        <v>1.33153172693099</v>
      </c>
      <c r="AD31" s="2">
        <f t="shared" si="23"/>
        <v>0.071803658401</v>
      </c>
      <c r="AE31" s="2">
        <f t="shared" si="24"/>
        <v>0.142194816867187</v>
      </c>
      <c r="AF31" s="2">
        <f t="shared" si="25"/>
        <v>0.101045079329595</v>
      </c>
      <c r="AG31" s="7">
        <f t="shared" si="26"/>
        <v>0.107173182288509</v>
      </c>
      <c r="AH31" s="2">
        <f t="shared" si="27"/>
        <v>28.6329953949657</v>
      </c>
      <c r="AI31" s="2">
        <f t="shared" si="28"/>
        <v>0.331531726930988</v>
      </c>
      <c r="AJ31" s="2">
        <f t="shared" si="29"/>
        <v>0.217122300090557</v>
      </c>
      <c r="AK31" s="2">
        <f t="shared" si="30"/>
        <v>0.120822037253908</v>
      </c>
      <c r="AL31" s="2">
        <f t="shared" si="31"/>
        <v>0.125257752127135</v>
      </c>
      <c r="AM31" s="2">
        <f t="shared" si="32"/>
        <v>2.79839268789764</v>
      </c>
      <c r="AN31" s="2">
        <f t="shared" si="33"/>
        <v>0.113527681689</v>
      </c>
      <c r="AO31" s="2">
        <f t="shared" si="34"/>
        <v>0.355178645812461</v>
      </c>
      <c r="AP31" s="2">
        <f t="shared" si="35"/>
        <v>2.10163425421907</v>
      </c>
      <c r="AQ31" s="2">
        <f t="shared" si="36"/>
        <v>0.113594965146</v>
      </c>
      <c r="AR31" s="2">
        <f t="shared" si="37"/>
        <v>0.355463971816052</v>
      </c>
      <c r="AS31" s="2">
        <f t="shared" si="38"/>
        <v>0.632477095742168</v>
      </c>
      <c r="AT31" s="2">
        <f t="shared" si="39"/>
        <v>0.16939883727469</v>
      </c>
      <c r="AU31" s="2">
        <f t="shared" si="40"/>
        <v>0.356246991250956</v>
      </c>
      <c r="AV31" s="2">
        <f t="shared" si="41"/>
        <v>0.169490751450914</v>
      </c>
      <c r="AW31" s="2">
        <f t="shared" si="42"/>
        <v>0.474301679526514</v>
      </c>
      <c r="AX31" s="2">
        <f t="shared" si="43"/>
        <v>-0.041791306745</v>
      </c>
      <c r="AY31" s="7">
        <f t="shared" si="44"/>
        <v>0.999637087613097</v>
      </c>
      <c r="AZ31" s="2">
        <f t="shared" si="45"/>
        <v>0.0988772273941314</v>
      </c>
      <c r="BA31" s="2">
        <f t="shared" si="46"/>
        <v>0.929039475639777</v>
      </c>
      <c r="BB31" s="2">
        <f t="shared" si="47"/>
        <v>0.0462360193942132</v>
      </c>
      <c r="BC31" s="2">
        <f t="shared" si="48"/>
        <v>0.698489941248952</v>
      </c>
      <c r="BD31" s="2">
        <f t="shared" si="49"/>
        <v>0.0673462396083168</v>
      </c>
      <c r="BE31" s="2">
        <f t="shared" si="50"/>
        <v>-0.07381087753032</v>
      </c>
      <c r="BF31" s="2">
        <f t="shared" si="51"/>
        <v>0.300169667230146</v>
      </c>
    </row>
    <row r="32" s="2" customFormat="1" spans="1:58">
      <c r="A32" s="5">
        <v>224.5</v>
      </c>
      <c r="B32" s="6">
        <v>0.0455075804814</v>
      </c>
      <c r="C32" s="6">
        <v>0.0848611857869</v>
      </c>
      <c r="D32" s="6">
        <v>0.0787838609913</v>
      </c>
      <c r="E32" s="6">
        <v>0.198576773373</v>
      </c>
      <c r="F32" s="6">
        <v>0.281851880504</v>
      </c>
      <c r="G32" s="2">
        <f t="shared" si="0"/>
        <v>3.32132856606288</v>
      </c>
      <c r="H32" s="2">
        <f t="shared" si="1"/>
        <v>0.1969906947171</v>
      </c>
      <c r="I32" s="2">
        <f t="shared" si="2"/>
        <v>0.537179372171142</v>
      </c>
      <c r="J32" s="2">
        <f t="shared" si="3"/>
        <v>-0.430042914203295</v>
      </c>
      <c r="K32" s="2">
        <f t="shared" si="4"/>
        <v>2.32132856606288</v>
      </c>
      <c r="L32" s="2">
        <f t="shared" si="5"/>
        <v>1.11667802956832</v>
      </c>
      <c r="M32" s="2">
        <f t="shared" si="6"/>
        <v>0.340927180595284</v>
      </c>
      <c r="N32" s="2">
        <f t="shared" si="7"/>
        <v>0.315685629458902</v>
      </c>
      <c r="O32" s="2">
        <f t="shared" si="8"/>
        <v>0.433840017451991</v>
      </c>
      <c r="P32" s="2">
        <f t="shared" si="9"/>
        <v>0.325298843698666</v>
      </c>
      <c r="Q32" s="2">
        <f t="shared" si="10"/>
        <v>0.563083455540822</v>
      </c>
      <c r="R32" s="2">
        <f t="shared" si="11"/>
        <v>3.5775332277143</v>
      </c>
      <c r="S32" s="2">
        <f t="shared" si="12"/>
        <v>0.452444739883189</v>
      </c>
      <c r="T32" s="2">
        <f t="shared" si="13"/>
        <v>-0.399282460368756</v>
      </c>
      <c r="U32" s="2">
        <f t="shared" si="14"/>
        <v>0.353926771318866</v>
      </c>
      <c r="V32" s="2">
        <f t="shared" si="15"/>
        <v>0.328910025491416</v>
      </c>
      <c r="W32" s="2">
        <f t="shared" si="16"/>
        <v>0.2030680195127</v>
      </c>
      <c r="X32" s="2">
        <f t="shared" si="17"/>
        <v>0.338148254670998</v>
      </c>
      <c r="Y32" s="2">
        <f t="shared" si="18"/>
        <v>1.03105938506995</v>
      </c>
      <c r="Z32" s="2">
        <f t="shared" si="19"/>
        <v>0.891436815681216</v>
      </c>
      <c r="AA32" s="2">
        <f t="shared" si="20"/>
        <v>2.95997819743222</v>
      </c>
      <c r="AB32" s="2">
        <f t="shared" si="21"/>
        <v>0.18031787074765</v>
      </c>
      <c r="AC32" s="2">
        <f t="shared" si="22"/>
        <v>1.41935975550665</v>
      </c>
      <c r="AD32" s="2">
        <f t="shared" si="23"/>
        <v>0.083275107131</v>
      </c>
      <c r="AE32" s="2">
        <f t="shared" si="24"/>
        <v>0.173335013344812</v>
      </c>
      <c r="AF32" s="2">
        <f t="shared" si="25"/>
        <v>0.120143629901225</v>
      </c>
      <c r="AG32" s="7">
        <f t="shared" si="26"/>
        <v>0.127406170966695</v>
      </c>
      <c r="AH32" s="2">
        <f t="shared" si="27"/>
        <v>35.020589353407</v>
      </c>
      <c r="AI32" s="2">
        <f t="shared" si="28"/>
        <v>0.419359755506646</v>
      </c>
      <c r="AJ32" s="2">
        <f t="shared" si="29"/>
        <v>0.269610327726928</v>
      </c>
      <c r="AK32" s="2">
        <f t="shared" si="30"/>
        <v>0.145139987423102</v>
      </c>
      <c r="AL32" s="2">
        <f t="shared" si="31"/>
        <v>0.150835106591768</v>
      </c>
      <c r="AM32" s="2">
        <f t="shared" si="32"/>
        <v>3.5775332277143</v>
      </c>
      <c r="AN32" s="2">
        <f t="shared" si="33"/>
        <v>0.1197929123817</v>
      </c>
      <c r="AO32" s="2">
        <f t="shared" si="34"/>
        <v>0.431903080465116</v>
      </c>
      <c r="AP32" s="2">
        <f t="shared" si="35"/>
        <v>2.52052604269964</v>
      </c>
      <c r="AQ32" s="2">
        <f t="shared" si="36"/>
        <v>0.1137155875861</v>
      </c>
      <c r="AR32" s="2">
        <f t="shared" si="37"/>
        <v>0.401200982123739</v>
      </c>
      <c r="AS32" s="2">
        <f t="shared" si="38"/>
        <v>0.695158882736383</v>
      </c>
      <c r="AT32" s="2">
        <f t="shared" si="39"/>
        <v>0.150119778974544</v>
      </c>
      <c r="AU32" s="2">
        <f t="shared" si="40"/>
        <v>0.351283110786258</v>
      </c>
      <c r="AV32" s="2">
        <f t="shared" si="41"/>
        <v>0.140883579849522</v>
      </c>
      <c r="AW32" s="2">
        <f t="shared" si="42"/>
        <v>0.504015688151004</v>
      </c>
      <c r="AX32" s="2">
        <f t="shared" si="43"/>
        <v>-0.0304404804551</v>
      </c>
      <c r="AY32" s="7">
        <f t="shared" si="44"/>
        <v>1.03085082168134</v>
      </c>
      <c r="AZ32" s="2">
        <f t="shared" si="45"/>
        <v>0.113339334571233</v>
      </c>
      <c r="BA32" s="2">
        <f t="shared" si="46"/>
        <v>0.814265732991889</v>
      </c>
      <c r="BB32" s="2">
        <f t="shared" si="47"/>
        <v>0.0622772028390964</v>
      </c>
      <c r="BC32" s="2">
        <f t="shared" si="48"/>
        <v>0.690365582109086</v>
      </c>
      <c r="BD32" s="2">
        <f t="shared" si="49"/>
        <v>0.0768893766769411</v>
      </c>
      <c r="BE32" s="2">
        <f t="shared" si="50"/>
        <v>-0.057480162365676</v>
      </c>
      <c r="BF32" s="2">
        <f t="shared" si="51"/>
        <v>0.322676227577832</v>
      </c>
    </row>
    <row r="33" s="2" customFormat="1" spans="1:58">
      <c r="A33" s="5">
        <v>222</v>
      </c>
      <c r="B33" s="6">
        <v>0.0369591150607</v>
      </c>
      <c r="C33" s="6">
        <v>0.0725927292568</v>
      </c>
      <c r="D33" s="6">
        <v>0.0589929793217</v>
      </c>
      <c r="E33" s="6">
        <v>0.201086391292</v>
      </c>
      <c r="F33" s="6">
        <v>0.310185111882</v>
      </c>
      <c r="G33" s="2">
        <f t="shared" si="0"/>
        <v>4.27295012954681</v>
      </c>
      <c r="H33" s="2">
        <f t="shared" si="1"/>
        <v>0.2375923826252</v>
      </c>
      <c r="I33" s="2">
        <f t="shared" si="2"/>
        <v>0.620705686406351</v>
      </c>
      <c r="J33" s="2">
        <f t="shared" si="3"/>
        <v>-0.322092011951225</v>
      </c>
      <c r="K33" s="2">
        <f t="shared" si="4"/>
        <v>3.27295012954681</v>
      </c>
      <c r="L33" s="2">
        <f t="shared" si="5"/>
        <v>1.42532058033767</v>
      </c>
      <c r="M33" s="2">
        <f t="shared" si="6"/>
        <v>0.403712641311943</v>
      </c>
      <c r="N33" s="2">
        <f t="shared" si="7"/>
        <v>0.384491383639677</v>
      </c>
      <c r="O33" s="2">
        <f t="shared" si="8"/>
        <v>0.507771583429017</v>
      </c>
      <c r="P33" s="2">
        <f t="shared" si="9"/>
        <v>0.384024664497341</v>
      </c>
      <c r="Q33" s="2">
        <f t="shared" si="10"/>
        <v>0.680409099416738</v>
      </c>
      <c r="R33" s="2">
        <f t="shared" si="11"/>
        <v>5.25800045104522</v>
      </c>
      <c r="S33" s="2">
        <f t="shared" si="12"/>
        <v>0.550632912838759</v>
      </c>
      <c r="T33" s="2">
        <f t="shared" si="13"/>
        <v>-0.22627160299917</v>
      </c>
      <c r="U33" s="2">
        <f t="shared" si="14"/>
        <v>0.433499420491198</v>
      </c>
      <c r="V33" s="2">
        <f t="shared" si="15"/>
        <v>0.417736834532425</v>
      </c>
      <c r="W33" s="2">
        <f t="shared" si="16"/>
        <v>0.2511921325603</v>
      </c>
      <c r="X33" s="2">
        <f t="shared" si="17"/>
        <v>0.413416754251595</v>
      </c>
      <c r="Y33" s="2">
        <f t="shared" si="18"/>
        <v>1.08646633607155</v>
      </c>
      <c r="Z33" s="2">
        <f t="shared" si="19"/>
        <v>1.29303302441226</v>
      </c>
      <c r="AA33" s="2">
        <f t="shared" si="20"/>
        <v>3.12285538277255</v>
      </c>
      <c r="AB33" s="2">
        <f t="shared" si="21"/>
        <v>0.18458904560185</v>
      </c>
      <c r="AC33" s="2">
        <f t="shared" si="22"/>
        <v>1.54254651390892</v>
      </c>
      <c r="AD33" s="2">
        <f t="shared" si="23"/>
        <v>0.10909872059</v>
      </c>
      <c r="AE33" s="2">
        <f t="shared" si="24"/>
        <v>0.213387055434753</v>
      </c>
      <c r="AF33" s="2">
        <f t="shared" si="25"/>
        <v>0.152578683761523</v>
      </c>
      <c r="AG33" s="7">
        <f t="shared" si="26"/>
        <v>0.161824080250823</v>
      </c>
      <c r="AH33" s="2">
        <f t="shared" si="27"/>
        <v>43.3434631226984</v>
      </c>
      <c r="AI33" s="2">
        <f t="shared" si="28"/>
        <v>0.542546513908922</v>
      </c>
      <c r="AJ33" s="2">
        <f t="shared" si="29"/>
        <v>0.340253439423344</v>
      </c>
      <c r="AK33" s="2">
        <f t="shared" si="30"/>
        <v>0.188279113959682</v>
      </c>
      <c r="AL33" s="2">
        <f t="shared" si="31"/>
        <v>0.188529552179717</v>
      </c>
      <c r="AM33" s="2">
        <f t="shared" si="32"/>
        <v>5.25800045104522</v>
      </c>
      <c r="AN33" s="2">
        <f t="shared" si="33"/>
        <v>0.1420934119703</v>
      </c>
      <c r="AO33" s="2">
        <f t="shared" si="34"/>
        <v>0.546346338946481</v>
      </c>
      <c r="AP33" s="2">
        <f t="shared" si="35"/>
        <v>3.40864953091176</v>
      </c>
      <c r="AQ33" s="2">
        <f t="shared" si="36"/>
        <v>0.1284936620352</v>
      </c>
      <c r="AR33" s="2">
        <f t="shared" si="37"/>
        <v>0.469504804668824</v>
      </c>
      <c r="AS33" s="2">
        <f t="shared" si="38"/>
        <v>0.767795769537883</v>
      </c>
      <c r="AT33" s="2">
        <f t="shared" si="39"/>
        <v>0.124331523023041</v>
      </c>
      <c r="AU33" s="2">
        <f t="shared" si="40"/>
        <v>0.344406079568905</v>
      </c>
      <c r="AV33" s="2">
        <f t="shared" si="41"/>
        <v>0.103448454414562</v>
      </c>
      <c r="AW33" s="2">
        <f t="shared" si="42"/>
        <v>0.543932019971696</v>
      </c>
      <c r="AX33" s="2">
        <f t="shared" si="43"/>
        <v>-0.0193949414452</v>
      </c>
      <c r="AY33" s="7">
        <f t="shared" si="44"/>
        <v>1.05723983986706</v>
      </c>
      <c r="AZ33" s="2">
        <f t="shared" si="45"/>
        <v>0.138291644819872</v>
      </c>
      <c r="BA33" s="2">
        <f t="shared" si="46"/>
        <v>0.69460221937574</v>
      </c>
      <c r="BB33" s="2">
        <f t="shared" si="47"/>
        <v>0.0949903908080646</v>
      </c>
      <c r="BC33" s="2">
        <f t="shared" si="48"/>
        <v>0.771983027194647</v>
      </c>
      <c r="BD33" s="2">
        <f t="shared" si="49"/>
        <v>0.0948108327286568</v>
      </c>
      <c r="BE33" s="2">
        <f t="shared" si="50"/>
        <v>-0.043347955125312</v>
      </c>
      <c r="BF33" s="2">
        <f t="shared" si="51"/>
        <v>0.343781376758739</v>
      </c>
    </row>
    <row r="34" s="2" customFormat="1" spans="1:58">
      <c r="A34" s="5">
        <v>225.5</v>
      </c>
      <c r="B34" s="6">
        <v>0.0376115418192</v>
      </c>
      <c r="C34" s="6">
        <v>0.0712316293655</v>
      </c>
      <c r="D34" s="6">
        <v>0.0618548657876</v>
      </c>
      <c r="E34" s="6">
        <v>0.185795497646</v>
      </c>
      <c r="F34" s="6">
        <v>0.276550446536</v>
      </c>
      <c r="G34" s="2">
        <f t="shared" si="0"/>
        <v>3.88241079137723</v>
      </c>
      <c r="H34" s="2">
        <f t="shared" si="1"/>
        <v>0.2053188171705</v>
      </c>
      <c r="I34" s="2">
        <f t="shared" si="2"/>
        <v>0.590366299465793</v>
      </c>
      <c r="J34" s="2">
        <f t="shared" si="3"/>
        <v>-0.3643595098683</v>
      </c>
      <c r="K34" s="2">
        <f t="shared" si="4"/>
        <v>2.88241079137723</v>
      </c>
      <c r="L34" s="2">
        <f t="shared" si="5"/>
        <v>1.30448387971858</v>
      </c>
      <c r="M34" s="2">
        <f t="shared" si="6"/>
        <v>0.363275226629741</v>
      </c>
      <c r="N34" s="2">
        <f t="shared" si="7"/>
        <v>0.337924225620901</v>
      </c>
      <c r="O34" s="2">
        <f t="shared" si="8"/>
        <v>0.469039454563143</v>
      </c>
      <c r="P34" s="2">
        <f t="shared" si="9"/>
        <v>0.348157019609891</v>
      </c>
      <c r="Q34" s="2">
        <f t="shared" si="10"/>
        <v>0.634433245962455</v>
      </c>
      <c r="R34" s="2">
        <f t="shared" si="11"/>
        <v>4.47095702196867</v>
      </c>
      <c r="S34" s="2">
        <f t="shared" si="12"/>
        <v>0.499687438135581</v>
      </c>
      <c r="T34" s="2">
        <f t="shared" si="13"/>
        <v>-0.301647042060814</v>
      </c>
      <c r="U34" s="2">
        <f t="shared" si="14"/>
        <v>0.384114182471092</v>
      </c>
      <c r="V34" s="2">
        <f t="shared" si="15"/>
        <v>0.359849793166629</v>
      </c>
      <c r="W34" s="2">
        <f t="shared" si="16"/>
        <v>0.2146955807484</v>
      </c>
      <c r="X34" s="2">
        <f t="shared" si="17"/>
        <v>0.369066408913087</v>
      </c>
      <c r="Y34" s="2">
        <f t="shared" si="18"/>
        <v>1.0650977635703</v>
      </c>
      <c r="Z34" s="2">
        <f t="shared" si="19"/>
        <v>1.11446376700304</v>
      </c>
      <c r="AA34" s="2">
        <f t="shared" si="20"/>
        <v>3.04948984775821</v>
      </c>
      <c r="AB34" s="2">
        <f t="shared" si="21"/>
        <v>0.1692026561618</v>
      </c>
      <c r="AC34" s="2">
        <f t="shared" si="22"/>
        <v>1.4884668898862</v>
      </c>
      <c r="AD34" s="2">
        <f t="shared" si="23"/>
        <v>0.09075494889</v>
      </c>
      <c r="AE34" s="2">
        <f t="shared" si="24"/>
        <v>0.196292300239742</v>
      </c>
      <c r="AF34" s="2">
        <f t="shared" si="25"/>
        <v>0.133470961919656</v>
      </c>
      <c r="AG34" s="7">
        <f t="shared" si="26"/>
        <v>0.141458925616103</v>
      </c>
      <c r="AH34" s="2">
        <f t="shared" si="27"/>
        <v>39.7746657280172</v>
      </c>
      <c r="AI34" s="2">
        <f t="shared" si="28"/>
        <v>0.488466889886198</v>
      </c>
      <c r="AJ34" s="2">
        <f t="shared" si="29"/>
        <v>0.309648654779436</v>
      </c>
      <c r="AK34" s="2">
        <f t="shared" si="30"/>
        <v>0.162370659314784</v>
      </c>
      <c r="AL34" s="2">
        <f t="shared" si="31"/>
        <v>0.169159519229731</v>
      </c>
      <c r="AM34" s="2">
        <f t="shared" si="32"/>
        <v>4.47095702196867</v>
      </c>
      <c r="AN34" s="2">
        <f t="shared" si="33"/>
        <v>0.1239406318584</v>
      </c>
      <c r="AO34" s="2">
        <f t="shared" si="34"/>
        <v>0.50046618199949</v>
      </c>
      <c r="AP34" s="2">
        <f t="shared" si="35"/>
        <v>3.00373293645148</v>
      </c>
      <c r="AQ34" s="2">
        <f t="shared" si="36"/>
        <v>0.1145638682805</v>
      </c>
      <c r="AR34" s="2">
        <f t="shared" si="37"/>
        <v>0.445726758932236</v>
      </c>
      <c r="AS34" s="2">
        <f t="shared" si="38"/>
        <v>0.732245330116486</v>
      </c>
      <c r="AT34" s="2">
        <f t="shared" si="39"/>
        <v>0.133498169519973</v>
      </c>
      <c r="AU34" s="2">
        <f t="shared" si="40"/>
        <v>0.348207096506578</v>
      </c>
      <c r="AV34" s="2">
        <f t="shared" si="41"/>
        <v>0.117998417040193</v>
      </c>
      <c r="AW34" s="2">
        <f t="shared" si="42"/>
        <v>0.52756585124704</v>
      </c>
      <c r="AX34" s="2">
        <f t="shared" si="43"/>
        <v>-0.0238089193905</v>
      </c>
      <c r="AY34" s="7">
        <f t="shared" si="44"/>
        <v>1.0456692850033</v>
      </c>
      <c r="AZ34" s="2">
        <f t="shared" si="45"/>
        <v>0.122173849947328</v>
      </c>
      <c r="BA34" s="2">
        <f t="shared" si="46"/>
        <v>0.729074183218724</v>
      </c>
      <c r="BB34" s="2">
        <f t="shared" si="47"/>
        <v>0.0739636842703018</v>
      </c>
      <c r="BC34" s="2">
        <f t="shared" si="48"/>
        <v>0.682341164072717</v>
      </c>
      <c r="BD34" s="2">
        <f t="shared" si="49"/>
        <v>0.0805244886606708</v>
      </c>
      <c r="BE34" s="2">
        <f t="shared" si="50"/>
        <v>-0.0480325081159799</v>
      </c>
      <c r="BF34" s="2">
        <f t="shared" si="51"/>
        <v>0.332492387213433</v>
      </c>
    </row>
    <row r="35" s="2" customFormat="1" spans="1:58">
      <c r="A35" s="5">
        <v>229.5</v>
      </c>
      <c r="B35" s="6">
        <v>0.0454083356596</v>
      </c>
      <c r="C35" s="6">
        <v>0.0828555403851</v>
      </c>
      <c r="D35" s="6">
        <v>0.077238445395</v>
      </c>
      <c r="E35" s="6">
        <v>0.201943934854</v>
      </c>
      <c r="F35" s="6">
        <v>0.296878708005</v>
      </c>
      <c r="G35" s="2">
        <f t="shared" si="0"/>
        <v>3.5830881872854</v>
      </c>
      <c r="H35" s="2">
        <f t="shared" si="1"/>
        <v>0.2140231676199</v>
      </c>
      <c r="I35" s="2">
        <f t="shared" si="2"/>
        <v>0.563613022863386</v>
      </c>
      <c r="J35" s="2">
        <f t="shared" si="3"/>
        <v>-0.398630170796551</v>
      </c>
      <c r="K35" s="2">
        <f t="shared" si="4"/>
        <v>2.5830881872854</v>
      </c>
      <c r="L35" s="2">
        <f t="shared" si="5"/>
        <v>1.20659112443223</v>
      </c>
      <c r="M35" s="2">
        <f t="shared" si="6"/>
        <v>0.364922420625704</v>
      </c>
      <c r="N35" s="2">
        <f t="shared" si="7"/>
        <v>0.341939876916778</v>
      </c>
      <c r="O35" s="2">
        <f t="shared" si="8"/>
        <v>0.459979842264236</v>
      </c>
      <c r="P35" s="2">
        <f t="shared" si="9"/>
        <v>0.347312891302711</v>
      </c>
      <c r="Q35" s="2">
        <f t="shared" si="10"/>
        <v>0.587089526940681</v>
      </c>
      <c r="R35" s="2">
        <f t="shared" si="11"/>
        <v>3.8436649842802</v>
      </c>
      <c r="S35" s="2">
        <f t="shared" si="12"/>
        <v>0.477016517828989</v>
      </c>
      <c r="T35" s="2">
        <f t="shared" si="13"/>
        <v>-0.368700744793485</v>
      </c>
      <c r="U35" s="2">
        <f t="shared" si="14"/>
        <v>0.376906450849887</v>
      </c>
      <c r="V35" s="2">
        <f t="shared" si="15"/>
        <v>0.354459054223979</v>
      </c>
      <c r="W35" s="2">
        <f t="shared" si="16"/>
        <v>0.21964026261</v>
      </c>
      <c r="X35" s="2">
        <f t="shared" si="17"/>
        <v>0.359093995874105</v>
      </c>
      <c r="Y35" s="2">
        <f t="shared" si="18"/>
        <v>1.04263585538801</v>
      </c>
      <c r="Z35" s="2">
        <f t="shared" si="19"/>
        <v>0.960526710932601</v>
      </c>
      <c r="AA35" s="2">
        <f t="shared" si="20"/>
        <v>2.99257122904737</v>
      </c>
      <c r="AB35" s="2">
        <f t="shared" si="21"/>
        <v>0.1870585767</v>
      </c>
      <c r="AC35" s="2">
        <f t="shared" si="22"/>
        <v>1.47010460214928</v>
      </c>
      <c r="AD35" s="2">
        <f t="shared" si="23"/>
        <v>0.094934773151</v>
      </c>
      <c r="AE35" s="2">
        <f t="shared" si="24"/>
        <v>0.19031769008496</v>
      </c>
      <c r="AF35" s="2">
        <f t="shared" si="25"/>
        <v>0.134416393103066</v>
      </c>
      <c r="AG35" s="7">
        <f t="shared" si="26"/>
        <v>0.142570015552403</v>
      </c>
      <c r="AH35" s="2">
        <f t="shared" si="27"/>
        <v>38.5333556183721</v>
      </c>
      <c r="AI35" s="2">
        <f t="shared" si="28"/>
        <v>0.470104602149281</v>
      </c>
      <c r="AJ35" s="2">
        <f t="shared" si="29"/>
        <v>0.299114061821507</v>
      </c>
      <c r="AK35" s="2">
        <f t="shared" si="30"/>
        <v>0.162909695997392</v>
      </c>
      <c r="AL35" s="2">
        <f t="shared" si="31"/>
        <v>0.167153236229509</v>
      </c>
      <c r="AM35" s="2">
        <f t="shared" si="32"/>
        <v>3.8436649842802</v>
      </c>
      <c r="AN35" s="2">
        <f t="shared" si="33"/>
        <v>0.124705489459</v>
      </c>
      <c r="AO35" s="2">
        <f t="shared" si="34"/>
        <v>0.446681088354417</v>
      </c>
      <c r="AP35" s="2">
        <f t="shared" si="35"/>
        <v>2.61455203844733</v>
      </c>
      <c r="AQ35" s="2">
        <f t="shared" si="36"/>
        <v>0.1190883944689</v>
      </c>
      <c r="AR35" s="2">
        <f t="shared" si="37"/>
        <v>0.418148222952029</v>
      </c>
      <c r="AS35" s="2">
        <f t="shared" si="38"/>
        <v>0.761271805778944</v>
      </c>
      <c r="AT35" s="2">
        <f t="shared" si="39"/>
        <v>0.142442234850555</v>
      </c>
      <c r="AU35" s="2">
        <f t="shared" si="40"/>
        <v>0.347174676085891</v>
      </c>
      <c r="AV35" s="2">
        <f t="shared" si="41"/>
        <v>0.134080303235034</v>
      </c>
      <c r="AW35" s="2">
        <f t="shared" si="42"/>
        <v>0.515359766626172</v>
      </c>
      <c r="AX35" s="2">
        <f t="shared" si="43"/>
        <v>-0.0241536213179</v>
      </c>
      <c r="AY35" s="7">
        <f t="shared" si="44"/>
        <v>1.02624526612033</v>
      </c>
      <c r="AZ35" s="2">
        <f t="shared" si="45"/>
        <v>0.125766357163264</v>
      </c>
      <c r="BA35" s="2">
        <f t="shared" si="46"/>
        <v>0.782458141911381</v>
      </c>
      <c r="BB35" s="2">
        <f t="shared" si="47"/>
        <v>0.0766367581763667</v>
      </c>
      <c r="BC35" s="2">
        <f t="shared" si="48"/>
        <v>0.73241343960813</v>
      </c>
      <c r="BD35" s="2">
        <f t="shared" si="49"/>
        <v>0.0910678229248574</v>
      </c>
      <c r="BE35" s="2">
        <f t="shared" si="50"/>
        <v>-0.049071822034044</v>
      </c>
      <c r="BF35" s="2">
        <f t="shared" si="51"/>
        <v>0.337674401343795</v>
      </c>
    </row>
    <row r="36" s="2" customFormat="1" spans="1:58">
      <c r="A36" s="5">
        <v>231</v>
      </c>
      <c r="B36" s="6">
        <v>0.0538220985648</v>
      </c>
      <c r="C36" s="6">
        <v>0.0952324632819</v>
      </c>
      <c r="D36" s="6">
        <v>0.0935744666947</v>
      </c>
      <c r="E36" s="6">
        <v>0.214381534657</v>
      </c>
      <c r="F36" s="6">
        <v>0.309361593166</v>
      </c>
      <c r="G36" s="2">
        <f t="shared" si="0"/>
        <v>3.24848882938427</v>
      </c>
      <c r="H36" s="2">
        <f t="shared" si="1"/>
        <v>0.2141291298841</v>
      </c>
      <c r="I36" s="2">
        <f t="shared" si="2"/>
        <v>0.529244378338201</v>
      </c>
      <c r="J36" s="2">
        <f t="shared" si="3"/>
        <v>-0.439036658697575</v>
      </c>
      <c r="K36" s="2">
        <f t="shared" si="4"/>
        <v>2.24848882938427</v>
      </c>
      <c r="L36" s="2">
        <f t="shared" si="5"/>
        <v>1.09087124478917</v>
      </c>
      <c r="M36" s="2">
        <f t="shared" si="6"/>
        <v>0.355069428697544</v>
      </c>
      <c r="N36" s="2">
        <f t="shared" si="7"/>
        <v>0.333118032869374</v>
      </c>
      <c r="O36" s="2">
        <f t="shared" si="8"/>
        <v>0.439944040906632</v>
      </c>
      <c r="P36" s="2">
        <f t="shared" si="9"/>
        <v>0.336640220754458</v>
      </c>
      <c r="Q36" s="2">
        <f t="shared" si="10"/>
        <v>0.535536895223278</v>
      </c>
      <c r="R36" s="2">
        <f t="shared" si="11"/>
        <v>3.30604708841501</v>
      </c>
      <c r="S36" s="2">
        <f t="shared" si="12"/>
        <v>0.444656302118306</v>
      </c>
      <c r="T36" s="2">
        <f t="shared" si="13"/>
        <v>-0.431920434143107</v>
      </c>
      <c r="U36" s="2">
        <f t="shared" si="14"/>
        <v>0.358475759354307</v>
      </c>
      <c r="V36" s="2">
        <f t="shared" si="15"/>
        <v>0.336612256255195</v>
      </c>
      <c r="W36" s="2">
        <f t="shared" si="16"/>
        <v>0.2157871264713</v>
      </c>
      <c r="X36" s="2">
        <f t="shared" si="17"/>
        <v>0.339944065604318</v>
      </c>
      <c r="Y36" s="2">
        <f t="shared" si="18"/>
        <v>1.01761333286434</v>
      </c>
      <c r="Z36" s="2">
        <f t="shared" si="19"/>
        <v>0.818253856977899</v>
      </c>
      <c r="AA36" s="2">
        <f t="shared" si="20"/>
        <v>2.92282246604371</v>
      </c>
      <c r="AB36" s="2">
        <f t="shared" si="21"/>
        <v>0.20146802993035</v>
      </c>
      <c r="AC36" s="2">
        <f t="shared" si="22"/>
        <v>1.4430421615414</v>
      </c>
      <c r="AD36" s="2">
        <f t="shared" si="23"/>
        <v>0.094980058509</v>
      </c>
      <c r="AE36" s="2">
        <f t="shared" si="24"/>
        <v>0.181348553257006</v>
      </c>
      <c r="AF36" s="2">
        <f t="shared" si="25"/>
        <v>0.131242128140597</v>
      </c>
      <c r="AG36" s="7">
        <f t="shared" si="26"/>
        <v>0.139165855077791</v>
      </c>
      <c r="AH36" s="2">
        <f t="shared" si="27"/>
        <v>36.6753497342306</v>
      </c>
      <c r="AI36" s="2">
        <f t="shared" si="28"/>
        <v>0.443042161541401</v>
      </c>
      <c r="AJ36" s="2">
        <f t="shared" si="29"/>
        <v>0.283452033027441</v>
      </c>
      <c r="AK36" s="2">
        <f t="shared" si="30"/>
        <v>0.157785356125305</v>
      </c>
      <c r="AL36" s="2">
        <f t="shared" si="31"/>
        <v>0.161137806563756</v>
      </c>
      <c r="AM36" s="2">
        <f t="shared" si="32"/>
        <v>3.30604708841501</v>
      </c>
      <c r="AN36" s="2">
        <f t="shared" si="33"/>
        <v>0.1208070679623</v>
      </c>
      <c r="AO36" s="2">
        <f t="shared" si="34"/>
        <v>0.392286779384217</v>
      </c>
      <c r="AP36" s="2">
        <f t="shared" si="35"/>
        <v>2.29102598421907</v>
      </c>
      <c r="AQ36" s="2">
        <f t="shared" si="36"/>
        <v>0.1191490713751</v>
      </c>
      <c r="AR36" s="2">
        <f t="shared" si="37"/>
        <v>0.384831022396517</v>
      </c>
      <c r="AS36" s="2">
        <f t="shared" si="38"/>
        <v>0.786212761480481</v>
      </c>
      <c r="AT36" s="2">
        <f t="shared" si="39"/>
        <v>0.153854957530564</v>
      </c>
      <c r="AU36" s="2">
        <f t="shared" si="40"/>
        <v>0.346348931586008</v>
      </c>
      <c r="AV36" s="2">
        <f t="shared" si="41"/>
        <v>0.151582374333277</v>
      </c>
      <c r="AW36" s="2">
        <f t="shared" si="42"/>
        <v>0.501138467319563</v>
      </c>
      <c r="AX36" s="2">
        <f t="shared" si="43"/>
        <v>-0.0241690128661</v>
      </c>
      <c r="AY36" s="7">
        <f t="shared" si="44"/>
        <v>1.00774297540973</v>
      </c>
      <c r="AZ36" s="2">
        <f t="shared" si="45"/>
        <v>0.12620879217847</v>
      </c>
      <c r="BA36" s="2">
        <f t="shared" si="46"/>
        <v>0.8564766132148</v>
      </c>
      <c r="BB36" s="2">
        <f t="shared" si="47"/>
        <v>0.0752607564467699</v>
      </c>
      <c r="BC36" s="2">
        <f t="shared" si="48"/>
        <v>0.761649596163848</v>
      </c>
      <c r="BD36" s="2">
        <f t="shared" si="49"/>
        <v>0.0981062226774285</v>
      </c>
      <c r="BE36" s="2">
        <f t="shared" si="50"/>
        <v>-0.049101267092196</v>
      </c>
      <c r="BF36" s="2">
        <f t="shared" si="51"/>
        <v>0.342655606142535</v>
      </c>
    </row>
    <row r="37" s="2" customFormat="1" spans="1:58">
      <c r="A37" s="5">
        <v>230</v>
      </c>
      <c r="B37" s="6">
        <v>0.0518190353018</v>
      </c>
      <c r="C37" s="6">
        <v>0.0906979553987</v>
      </c>
      <c r="D37" s="6">
        <v>0.088561299108</v>
      </c>
      <c r="E37" s="6">
        <v>0.214595431181</v>
      </c>
      <c r="F37" s="6">
        <v>0.32321323143</v>
      </c>
      <c r="G37" s="2">
        <f t="shared" si="0"/>
        <v>3.56362202443466</v>
      </c>
      <c r="H37" s="2">
        <f t="shared" si="1"/>
        <v>0.2325152760313</v>
      </c>
      <c r="I37" s="2">
        <f t="shared" si="2"/>
        <v>0.561751611046763</v>
      </c>
      <c r="J37" s="2">
        <f t="shared" si="3"/>
        <v>-0.400918652332703</v>
      </c>
      <c r="K37" s="2">
        <f t="shared" si="4"/>
        <v>2.56362202443466</v>
      </c>
      <c r="L37" s="2">
        <f t="shared" si="5"/>
        <v>1.20004949995454</v>
      </c>
      <c r="M37" s="2">
        <f t="shared" si="6"/>
        <v>0.381626704075264</v>
      </c>
      <c r="N37" s="2">
        <f t="shared" si="7"/>
        <v>0.362073911550614</v>
      </c>
      <c r="O37" s="2">
        <f t="shared" si="8"/>
        <v>0.469964214649144</v>
      </c>
      <c r="P37" s="2">
        <f t="shared" si="9"/>
        <v>0.361408122354168</v>
      </c>
      <c r="Q37" s="2">
        <f t="shared" si="10"/>
        <v>0.569855381816398</v>
      </c>
      <c r="R37" s="2">
        <f t="shared" si="11"/>
        <v>3.64959903124099</v>
      </c>
      <c r="S37" s="2">
        <f t="shared" si="12"/>
        <v>0.476055205252676</v>
      </c>
      <c r="T37" s="2">
        <f t="shared" si="13"/>
        <v>-0.390867123304399</v>
      </c>
      <c r="U37" s="2">
        <f t="shared" si="14"/>
        <v>0.386036116050876</v>
      </c>
      <c r="V37" s="2">
        <f t="shared" si="15"/>
        <v>0.366730855256042</v>
      </c>
      <c r="W37" s="2">
        <f t="shared" si="16"/>
        <v>0.234651932322</v>
      </c>
      <c r="X37" s="2">
        <f t="shared" si="17"/>
        <v>0.365674262817756</v>
      </c>
      <c r="Y37" s="2">
        <f t="shared" si="18"/>
        <v>1.03433813707917</v>
      </c>
      <c r="Z37" s="2">
        <f t="shared" si="19"/>
        <v>0.910392376251797</v>
      </c>
      <c r="AA37" s="2">
        <f t="shared" si="20"/>
        <v>2.97362037053355</v>
      </c>
      <c r="AB37" s="2">
        <f t="shared" si="21"/>
        <v>0.205887265269</v>
      </c>
      <c r="AC37" s="2">
        <f t="shared" si="22"/>
        <v>1.50615150402427</v>
      </c>
      <c r="AD37" s="2">
        <f t="shared" si="23"/>
        <v>0.108617800249</v>
      </c>
      <c r="AE37" s="2">
        <f t="shared" si="24"/>
        <v>0.201963649528576</v>
      </c>
      <c r="AF37" s="2">
        <f t="shared" si="25"/>
        <v>0.148110929178281</v>
      </c>
      <c r="AG37" s="7">
        <f t="shared" si="26"/>
        <v>0.156991077684394</v>
      </c>
      <c r="AH37" s="2">
        <f t="shared" si="27"/>
        <v>40.9557724599553</v>
      </c>
      <c r="AI37" s="2">
        <f t="shared" si="28"/>
        <v>0.506151504024271</v>
      </c>
      <c r="AJ37" s="2">
        <f t="shared" si="29"/>
        <v>0.319725202270824</v>
      </c>
      <c r="AK37" s="2">
        <f t="shared" si="30"/>
        <v>0.178691874928074</v>
      </c>
      <c r="AL37" s="2">
        <f t="shared" si="31"/>
        <v>0.180560453086662</v>
      </c>
      <c r="AM37" s="2">
        <f t="shared" si="32"/>
        <v>3.64959903124099</v>
      </c>
      <c r="AN37" s="2">
        <f t="shared" si="33"/>
        <v>0.126034132073</v>
      </c>
      <c r="AO37" s="2">
        <f t="shared" si="34"/>
        <v>0.415739185314644</v>
      </c>
      <c r="AP37" s="2">
        <f t="shared" si="35"/>
        <v>2.42312876326828</v>
      </c>
      <c r="AQ37" s="2">
        <f t="shared" si="36"/>
        <v>0.1238974757823</v>
      </c>
      <c r="AR37" s="2">
        <f t="shared" si="37"/>
        <v>0.405830853954497</v>
      </c>
      <c r="AS37" s="2">
        <f t="shared" si="38"/>
        <v>0.861812577771295</v>
      </c>
      <c r="AT37" s="2">
        <f t="shared" si="39"/>
        <v>0.144307080943578</v>
      </c>
      <c r="AU37" s="2">
        <f t="shared" si="40"/>
        <v>0.341437027124014</v>
      </c>
      <c r="AV37" s="2">
        <f t="shared" si="41"/>
        <v>0.141388164376455</v>
      </c>
      <c r="AW37" s="2">
        <f t="shared" si="42"/>
        <v>0.516010107737253</v>
      </c>
      <c r="AX37" s="2">
        <f t="shared" si="43"/>
        <v>-0.0152796755333</v>
      </c>
      <c r="AY37" s="7">
        <f t="shared" si="44"/>
        <v>1.00918931576097</v>
      </c>
      <c r="AZ37" s="2">
        <f t="shared" si="45"/>
        <v>0.140656464966965</v>
      </c>
      <c r="BA37" s="2">
        <f t="shared" si="46"/>
        <v>0.813701837464205</v>
      </c>
      <c r="BB37" s="2">
        <f t="shared" si="47"/>
        <v>0.093554216668207</v>
      </c>
      <c r="BC37" s="2">
        <f t="shared" si="48"/>
        <v>0.802377497966193</v>
      </c>
      <c r="BD37" s="2">
        <f t="shared" si="49"/>
        <v>0.113800584273611</v>
      </c>
      <c r="BE37" s="2">
        <f t="shared" si="50"/>
        <v>-0.036870429861828</v>
      </c>
      <c r="BF37" s="2">
        <f t="shared" si="51"/>
        <v>0.359524824774847</v>
      </c>
    </row>
    <row r="38" s="2" customFormat="1" spans="1:58">
      <c r="A38" s="5">
        <v>205</v>
      </c>
      <c r="B38" s="6">
        <v>0.0467544449348</v>
      </c>
      <c r="C38" s="6">
        <v>0.0862168508805</v>
      </c>
      <c r="D38" s="6">
        <v>0.0810564585792</v>
      </c>
      <c r="E38" s="6">
        <v>0.20191595537</v>
      </c>
      <c r="F38" s="6">
        <v>0.282558424067</v>
      </c>
      <c r="G38" s="2">
        <f t="shared" si="0"/>
        <v>3.27729928872764</v>
      </c>
      <c r="H38" s="2">
        <f t="shared" si="1"/>
        <v>0.1963415731865</v>
      </c>
      <c r="I38" s="2">
        <f t="shared" si="2"/>
        <v>0.532415230968106</v>
      </c>
      <c r="J38" s="2">
        <f t="shared" si="3"/>
        <v>-0.435465853514208</v>
      </c>
      <c r="K38" s="2">
        <f t="shared" si="4"/>
        <v>2.27729928872764</v>
      </c>
      <c r="L38" s="2">
        <f t="shared" si="5"/>
        <v>1.10112162216144</v>
      </c>
      <c r="M38" s="2">
        <f t="shared" si="6"/>
        <v>0.338997170237778</v>
      </c>
      <c r="N38" s="2">
        <f t="shared" si="7"/>
        <v>0.313821247490161</v>
      </c>
      <c r="O38" s="2">
        <f t="shared" si="8"/>
        <v>0.430724044196191</v>
      </c>
      <c r="P38" s="2">
        <f t="shared" si="9"/>
        <v>0.323319105585692</v>
      </c>
      <c r="Q38" s="2">
        <f t="shared" si="10"/>
        <v>0.554163141017148</v>
      </c>
      <c r="R38" s="2">
        <f t="shared" si="11"/>
        <v>3.48594583355641</v>
      </c>
      <c r="S38" s="2">
        <f t="shared" si="12"/>
        <v>0.446401138914504</v>
      </c>
      <c r="T38" s="2">
        <f t="shared" si="13"/>
        <v>-0.410125476463597</v>
      </c>
      <c r="U38" s="2">
        <f t="shared" si="14"/>
        <v>0.349985803053286</v>
      </c>
      <c r="V38" s="2">
        <f t="shared" si="15"/>
        <v>0.324962798975777</v>
      </c>
      <c r="W38" s="2">
        <f t="shared" si="16"/>
        <v>0.2015019654878</v>
      </c>
      <c r="X38" s="2">
        <f t="shared" si="17"/>
        <v>0.334163077128291</v>
      </c>
      <c r="Y38" s="2">
        <f t="shared" si="18"/>
        <v>1.02672447181177</v>
      </c>
      <c r="Z38" s="2">
        <f t="shared" si="19"/>
        <v>0.86706878115307</v>
      </c>
      <c r="AA38" s="2">
        <f t="shared" si="20"/>
        <v>2.94840012972512</v>
      </c>
      <c r="AB38" s="2">
        <f t="shared" si="21"/>
        <v>0.1818074413231</v>
      </c>
      <c r="AC38" s="2">
        <f t="shared" si="22"/>
        <v>1.39938631174157</v>
      </c>
      <c r="AD38" s="2">
        <f t="shared" si="23"/>
        <v>0.080642468697</v>
      </c>
      <c r="AE38" s="2">
        <f t="shared" si="24"/>
        <v>0.166453525965012</v>
      </c>
      <c r="AF38" s="2">
        <f t="shared" si="25"/>
        <v>0.115858634797493</v>
      </c>
      <c r="AG38" s="7">
        <f t="shared" si="26"/>
        <v>0.122871357114115</v>
      </c>
      <c r="AH38" s="2">
        <f t="shared" si="27"/>
        <v>33.6033791762291</v>
      </c>
      <c r="AI38" s="2">
        <f t="shared" si="28"/>
        <v>0.399386311741571</v>
      </c>
      <c r="AJ38" s="2">
        <f t="shared" si="29"/>
        <v>0.25783572252802</v>
      </c>
      <c r="AK38" s="2">
        <f t="shared" si="30"/>
        <v>0.140066718946361</v>
      </c>
      <c r="AL38" s="2">
        <f t="shared" si="31"/>
        <v>0.145149701327521</v>
      </c>
      <c r="AM38" s="2">
        <f t="shared" si="32"/>
        <v>3.48594583355641</v>
      </c>
      <c r="AN38" s="2">
        <f t="shared" si="33"/>
        <v>0.1208594967908</v>
      </c>
      <c r="AO38" s="2">
        <f t="shared" si="34"/>
        <v>0.427106992883402</v>
      </c>
      <c r="AP38" s="2">
        <f t="shared" si="35"/>
        <v>2.49105325978076</v>
      </c>
      <c r="AQ38" s="2">
        <f t="shared" si="36"/>
        <v>0.1156991044895</v>
      </c>
      <c r="AR38" s="2">
        <f t="shared" si="37"/>
        <v>0.401547834816533</v>
      </c>
      <c r="AS38" s="2">
        <f t="shared" si="38"/>
        <v>0.667241473266986</v>
      </c>
      <c r="AT38" s="2">
        <f t="shared" si="39"/>
        <v>0.15107442746673</v>
      </c>
      <c r="AU38" s="2">
        <f t="shared" si="40"/>
        <v>0.35380945885162</v>
      </c>
      <c r="AV38" s="2">
        <f t="shared" si="41"/>
        <v>0.143328096595995</v>
      </c>
      <c r="AW38" s="2">
        <f t="shared" si="42"/>
        <v>0.49963398116038</v>
      </c>
      <c r="AX38" s="2">
        <f t="shared" si="43"/>
        <v>-0.0350566357925</v>
      </c>
      <c r="AY38" s="7">
        <f t="shared" si="44"/>
        <v>1.02628272870361</v>
      </c>
      <c r="AZ38" s="2">
        <f t="shared" si="45"/>
        <v>0.109128039810415</v>
      </c>
      <c r="BA38" s="2">
        <f t="shared" si="46"/>
        <v>0.811035831427003</v>
      </c>
      <c r="BB38" s="2">
        <f t="shared" si="47"/>
        <v>0.0578984248510311</v>
      </c>
      <c r="BC38" s="2">
        <f t="shared" si="48"/>
        <v>0.690429715328008</v>
      </c>
      <c r="BD38" s="2">
        <f t="shared" si="49"/>
        <v>0.0727399507154101</v>
      </c>
      <c r="BE38" s="2">
        <f t="shared" si="50"/>
        <v>-0.0643654480799401</v>
      </c>
      <c r="BF38" s="2">
        <f t="shared" si="51"/>
        <v>0.312638550295312</v>
      </c>
    </row>
    <row r="39" s="2" customFormat="1" spans="1:58">
      <c r="A39" s="5">
        <v>208</v>
      </c>
      <c r="B39" s="6">
        <v>0.0525945904872</v>
      </c>
      <c r="C39" s="6">
        <v>0.0958404841444</v>
      </c>
      <c r="D39" s="6">
        <v>0.0936184856027</v>
      </c>
      <c r="E39" s="6">
        <v>0.20787507256</v>
      </c>
      <c r="F39" s="6">
        <v>0.279970063009</v>
      </c>
      <c r="G39" s="2">
        <f t="shared" si="0"/>
        <v>2.92120877214244</v>
      </c>
      <c r="H39" s="2">
        <f t="shared" si="1"/>
        <v>0.1841295788646</v>
      </c>
      <c r="I39" s="2">
        <f t="shared" si="2"/>
        <v>0.489953196522292</v>
      </c>
      <c r="J39" s="2">
        <f t="shared" si="3"/>
        <v>-0.480883585531008</v>
      </c>
      <c r="K39" s="2">
        <f t="shared" si="4"/>
        <v>1.92120877214244</v>
      </c>
      <c r="L39" s="2">
        <f t="shared" si="5"/>
        <v>0.970207389735751</v>
      </c>
      <c r="M39" s="2">
        <f t="shared" si="6"/>
        <v>0.315358577485279</v>
      </c>
      <c r="N39" s="2">
        <f t="shared" si="7"/>
        <v>0.289976041146423</v>
      </c>
      <c r="O39" s="2">
        <f t="shared" si="8"/>
        <v>0.398630285681529</v>
      </c>
      <c r="P39" s="2">
        <f t="shared" si="9"/>
        <v>0.300357912729154</v>
      </c>
      <c r="Q39" s="2">
        <f t="shared" si="10"/>
        <v>0.498815014803866</v>
      </c>
      <c r="R39" s="2">
        <f t="shared" si="11"/>
        <v>2.99054253234925</v>
      </c>
      <c r="S39" s="2">
        <f t="shared" si="12"/>
        <v>0.405120818941368</v>
      </c>
      <c r="T39" s="2">
        <f t="shared" si="13"/>
        <v>-0.471816440268089</v>
      </c>
      <c r="U39" s="2">
        <f t="shared" si="14"/>
        <v>0.319975996198293</v>
      </c>
      <c r="V39" s="2">
        <f t="shared" si="15"/>
        <v>0.294531967699553</v>
      </c>
      <c r="W39" s="2">
        <f t="shared" si="16"/>
        <v>0.1863515774063</v>
      </c>
      <c r="X39" s="2">
        <f t="shared" si="17"/>
        <v>0.304885166649097</v>
      </c>
      <c r="Y39" s="2">
        <f t="shared" si="18"/>
        <v>0.99940733177412</v>
      </c>
      <c r="Z39" s="2">
        <f t="shared" si="19"/>
        <v>0.729318516742722</v>
      </c>
      <c r="AA39" s="2">
        <f t="shared" si="20"/>
        <v>2.87638432811797</v>
      </c>
      <c r="AB39" s="2">
        <f t="shared" si="21"/>
        <v>0.18679427430585</v>
      </c>
      <c r="AC39" s="2">
        <f t="shared" si="22"/>
        <v>1.34681883479892</v>
      </c>
      <c r="AD39" s="2">
        <f t="shared" si="23"/>
        <v>0.072094990449</v>
      </c>
      <c r="AE39" s="2">
        <f t="shared" si="24"/>
        <v>0.147782534235812</v>
      </c>
      <c r="AF39" s="2">
        <f t="shared" si="25"/>
        <v>0.103220058100448</v>
      </c>
      <c r="AG39" s="7">
        <f t="shared" si="26"/>
        <v>0.109473116564177</v>
      </c>
      <c r="AH39" s="2">
        <f t="shared" si="27"/>
        <v>29.7745393059178</v>
      </c>
      <c r="AI39" s="2">
        <f t="shared" si="28"/>
        <v>0.346818834798919</v>
      </c>
      <c r="AJ39" s="2">
        <f t="shared" si="29"/>
        <v>0.226392946726031</v>
      </c>
      <c r="AK39" s="2">
        <f t="shared" si="30"/>
        <v>0.123791098046511</v>
      </c>
      <c r="AL39" s="2">
        <f t="shared" si="31"/>
        <v>0.129089784470463</v>
      </c>
      <c r="AM39" s="2">
        <f t="shared" si="32"/>
        <v>2.99054253234925</v>
      </c>
      <c r="AN39" s="2">
        <f t="shared" si="33"/>
        <v>0.1142565869573</v>
      </c>
      <c r="AO39" s="2">
        <f t="shared" si="34"/>
        <v>0.378968584448633</v>
      </c>
      <c r="AP39" s="2">
        <f t="shared" si="35"/>
        <v>2.22044899809835</v>
      </c>
      <c r="AQ39" s="2">
        <f t="shared" si="36"/>
        <v>0.1120345884156</v>
      </c>
      <c r="AR39" s="2">
        <f t="shared" si="37"/>
        <v>0.368879979778714</v>
      </c>
      <c r="AS39" s="2">
        <f t="shared" si="38"/>
        <v>0.630991983647677</v>
      </c>
      <c r="AT39" s="2">
        <f t="shared" si="39"/>
        <v>0.164198809954337</v>
      </c>
      <c r="AU39" s="2">
        <f t="shared" si="40"/>
        <v>0.356142186031704</v>
      </c>
      <c r="AV39" s="2">
        <f t="shared" si="41"/>
        <v>0.161004888687706</v>
      </c>
      <c r="AW39" s="2">
        <f t="shared" si="42"/>
        <v>0.481491967536741</v>
      </c>
      <c r="AX39" s="2">
        <f t="shared" si="43"/>
        <v>-0.0399395979666</v>
      </c>
      <c r="AY39" s="7">
        <f t="shared" si="44"/>
        <v>1.01206758064294</v>
      </c>
      <c r="AZ39" s="2">
        <f t="shared" si="45"/>
        <v>0.0996658897530597</v>
      </c>
      <c r="BA39" s="2">
        <f t="shared" si="46"/>
        <v>0.890641029129774</v>
      </c>
      <c r="BB39" s="2">
        <f t="shared" si="47"/>
        <v>0.0475010540596741</v>
      </c>
      <c r="BC39" s="2">
        <f t="shared" si="48"/>
        <v>0.679189587151223</v>
      </c>
      <c r="BD39" s="2">
        <f t="shared" si="49"/>
        <v>0.0656958827398239</v>
      </c>
      <c r="BE39" s="2">
        <f t="shared" si="50"/>
        <v>-0.070957171681776</v>
      </c>
      <c r="BF39" s="2">
        <f t="shared" si="51"/>
        <v>0.301625819128803</v>
      </c>
    </row>
    <row r="40" s="2" customFormat="1" spans="1:58">
      <c r="A40" s="5">
        <v>197</v>
      </c>
      <c r="B40" s="6">
        <v>0.0558861091656</v>
      </c>
      <c r="C40" s="6">
        <v>0.0998805961462</v>
      </c>
      <c r="D40" s="6">
        <v>0.101051283992</v>
      </c>
      <c r="E40" s="6">
        <v>0.213685439282</v>
      </c>
      <c r="F40" s="6">
        <v>0.289718026969</v>
      </c>
      <c r="G40" s="2">
        <f t="shared" si="0"/>
        <v>2.90064375011264</v>
      </c>
      <c r="H40" s="2">
        <f t="shared" si="1"/>
        <v>0.1898374308228</v>
      </c>
      <c r="I40" s="2">
        <f t="shared" si="2"/>
        <v>0.487264121481937</v>
      </c>
      <c r="J40" s="2">
        <f t="shared" si="3"/>
        <v>-0.483594504676899</v>
      </c>
      <c r="K40" s="2">
        <f t="shared" si="4"/>
        <v>1.90064375011264</v>
      </c>
      <c r="L40" s="2">
        <f t="shared" si="5"/>
        <v>0.962348952900543</v>
      </c>
      <c r="M40" s="2">
        <f t="shared" si="6"/>
        <v>0.320095084271871</v>
      </c>
      <c r="N40" s="2">
        <f t="shared" si="7"/>
        <v>0.295775013581615</v>
      </c>
      <c r="O40" s="2">
        <f t="shared" si="8"/>
        <v>0.400676803930584</v>
      </c>
      <c r="P40" s="2">
        <f t="shared" si="9"/>
        <v>0.30413971946173</v>
      </c>
      <c r="Q40" s="2">
        <f t="shared" si="10"/>
        <v>0.482808495152859</v>
      </c>
      <c r="R40" s="2">
        <f t="shared" si="11"/>
        <v>2.86703954194126</v>
      </c>
      <c r="S40" s="2">
        <f t="shared" si="12"/>
        <v>0.397359506962103</v>
      </c>
      <c r="T40" s="2">
        <f t="shared" si="13"/>
        <v>-0.488045697430235</v>
      </c>
      <c r="U40" s="2">
        <f t="shared" si="14"/>
        <v>0.317703035997263</v>
      </c>
      <c r="V40" s="2">
        <f t="shared" si="15"/>
        <v>0.293410585793865</v>
      </c>
      <c r="W40" s="2">
        <f t="shared" si="16"/>
        <v>0.188666742977</v>
      </c>
      <c r="X40" s="2">
        <f t="shared" si="17"/>
        <v>0.30181104396976</v>
      </c>
      <c r="Y40" s="2">
        <f t="shared" si="18"/>
        <v>0.99136698308591</v>
      </c>
      <c r="Z40" s="2">
        <f t="shared" si="19"/>
        <v>0.693233457601539</v>
      </c>
      <c r="AA40" s="2">
        <f t="shared" si="20"/>
        <v>2.8521990994789</v>
      </c>
      <c r="AB40" s="2">
        <f t="shared" si="21"/>
        <v>0.1953846554805</v>
      </c>
      <c r="AC40" s="2">
        <f t="shared" si="22"/>
        <v>1.35581548252644</v>
      </c>
      <c r="AD40" s="2">
        <f t="shared" si="23"/>
        <v>0.076032587687</v>
      </c>
      <c r="AE40" s="2">
        <f t="shared" si="24"/>
        <v>0.151037076191068</v>
      </c>
      <c r="AF40" s="2">
        <f t="shared" si="25"/>
        <v>0.107162212274129</v>
      </c>
      <c r="AG40" s="7">
        <f t="shared" si="26"/>
        <v>0.113662036624827</v>
      </c>
      <c r="AH40" s="2">
        <f t="shared" si="27"/>
        <v>30.4403105426178</v>
      </c>
      <c r="AI40" s="2">
        <f t="shared" si="28"/>
        <v>0.355815482526444</v>
      </c>
      <c r="AJ40" s="2">
        <f t="shared" si="29"/>
        <v>0.23182176374169</v>
      </c>
      <c r="AK40" s="2">
        <f t="shared" si="30"/>
        <v>0.128034138723817</v>
      </c>
      <c r="AL40" s="2">
        <f t="shared" si="31"/>
        <v>0.132947453855404</v>
      </c>
      <c r="AM40" s="2">
        <f t="shared" si="32"/>
        <v>2.86703954194126</v>
      </c>
      <c r="AN40" s="2">
        <f t="shared" si="33"/>
        <v>0.11263415529</v>
      </c>
      <c r="AO40" s="2">
        <f t="shared" si="34"/>
        <v>0.357867852592289</v>
      </c>
      <c r="AP40" s="2">
        <f t="shared" si="35"/>
        <v>2.11462369245023</v>
      </c>
      <c r="AQ40" s="2">
        <f t="shared" si="36"/>
        <v>0.1138048431358</v>
      </c>
      <c r="AR40" s="2">
        <f t="shared" si="37"/>
        <v>0.362937404812961</v>
      </c>
      <c r="AS40" s="2">
        <f t="shared" si="38"/>
        <v>0.675040244153635</v>
      </c>
      <c r="AT40" s="2">
        <f t="shared" si="39"/>
        <v>0.16556146991405</v>
      </c>
      <c r="AU40" s="2">
        <f t="shared" si="40"/>
        <v>0.354203687120298</v>
      </c>
      <c r="AV40" s="2">
        <f t="shared" si="41"/>
        <v>0.167177582691468</v>
      </c>
      <c r="AW40" s="2">
        <f t="shared" si="42"/>
        <v>0.479304740102595</v>
      </c>
      <c r="AX40" s="2">
        <f t="shared" si="43"/>
        <v>-0.0377722554488</v>
      </c>
      <c r="AY40" s="7">
        <f t="shared" si="44"/>
        <v>0.993833208547303</v>
      </c>
      <c r="AZ40" s="2">
        <f t="shared" si="45"/>
        <v>0.104284159681903</v>
      </c>
      <c r="BA40" s="2">
        <f t="shared" si="46"/>
        <v>0.908285188303533</v>
      </c>
      <c r="BB40" s="2">
        <f t="shared" si="47"/>
        <v>0.0516092539880651</v>
      </c>
      <c r="BC40" s="2">
        <f t="shared" si="48"/>
        <v>0.704229655184068</v>
      </c>
      <c r="BD40" s="2">
        <f t="shared" si="49"/>
        <v>0.0746193883613676</v>
      </c>
      <c r="BE40" s="2">
        <f t="shared" si="50"/>
        <v>-0.068048629022568</v>
      </c>
      <c r="BF40" s="2">
        <f t="shared" si="51"/>
        <v>0.309969623315816</v>
      </c>
    </row>
    <row r="41" s="2" customFormat="1" spans="1:58">
      <c r="A41" s="5">
        <v>207</v>
      </c>
      <c r="B41" s="6">
        <v>0.0433270836608</v>
      </c>
      <c r="C41" s="6">
        <v>0.0847504952912</v>
      </c>
      <c r="D41" s="6">
        <v>0.0826989481975</v>
      </c>
      <c r="E41" s="6">
        <v>0.203693154387</v>
      </c>
      <c r="F41" s="6">
        <v>0.28629838093</v>
      </c>
      <c r="G41" s="2">
        <f t="shared" si="0"/>
        <v>3.3781322450835</v>
      </c>
      <c r="H41" s="2">
        <f t="shared" si="1"/>
        <v>0.2015478856388</v>
      </c>
      <c r="I41" s="2">
        <f t="shared" si="2"/>
        <v>0.543184196355436</v>
      </c>
      <c r="J41" s="2">
        <f t="shared" si="3"/>
        <v>-0.423106831085413</v>
      </c>
      <c r="K41" s="2">
        <f t="shared" si="4"/>
        <v>2.3781322450835</v>
      </c>
      <c r="L41" s="2">
        <f t="shared" si="5"/>
        <v>1.13655789662147</v>
      </c>
      <c r="M41" s="2">
        <f t="shared" si="6"/>
        <v>0.347077915730444</v>
      </c>
      <c r="N41" s="2">
        <f t="shared" si="7"/>
        <v>0.322434852965644</v>
      </c>
      <c r="O41" s="2">
        <f t="shared" si="8"/>
        <v>0.4402524095421</v>
      </c>
      <c r="P41" s="2">
        <f t="shared" si="9"/>
        <v>0.330874033867647</v>
      </c>
      <c r="Q41" s="2">
        <f t="shared" si="10"/>
        <v>0.551763974048035</v>
      </c>
      <c r="R41" s="2">
        <f t="shared" si="11"/>
        <v>3.46193497221111</v>
      </c>
      <c r="S41" s="2">
        <f t="shared" si="12"/>
        <v>0.446458477133023</v>
      </c>
      <c r="T41" s="2">
        <f t="shared" si="13"/>
        <v>-0.412995977279499</v>
      </c>
      <c r="U41" s="2">
        <f t="shared" si="14"/>
        <v>0.351438535956584</v>
      </c>
      <c r="V41" s="2">
        <f t="shared" si="15"/>
        <v>0.326878879397752</v>
      </c>
      <c r="W41" s="2">
        <f t="shared" si="16"/>
        <v>0.2035994327325</v>
      </c>
      <c r="X41" s="2">
        <f t="shared" si="17"/>
        <v>0.3351698556231</v>
      </c>
      <c r="Y41" s="2">
        <f t="shared" si="18"/>
        <v>1.02555544659859</v>
      </c>
      <c r="Z41" s="2">
        <f t="shared" si="19"/>
        <v>0.86062757482821</v>
      </c>
      <c r="AA41" s="2">
        <f t="shared" si="20"/>
        <v>2.94510025136542</v>
      </c>
      <c r="AB41" s="2">
        <f t="shared" si="21"/>
        <v>0.18449866456375</v>
      </c>
      <c r="AC41" s="2">
        <f t="shared" si="22"/>
        <v>1.40553756846466</v>
      </c>
      <c r="AD41" s="2">
        <f t="shared" si="23"/>
        <v>0.082605226543</v>
      </c>
      <c r="AE41" s="2">
        <f t="shared" si="24"/>
        <v>0.168585007268663</v>
      </c>
      <c r="AF41" s="2">
        <f t="shared" si="25"/>
        <v>0.11800848578463</v>
      </c>
      <c r="AG41" s="7">
        <f t="shared" si="26"/>
        <v>0.125160504301508</v>
      </c>
      <c r="AH41" s="2">
        <f t="shared" si="27"/>
        <v>34.0419840615656</v>
      </c>
      <c r="AI41" s="2">
        <f t="shared" si="28"/>
        <v>0.405537568464657</v>
      </c>
      <c r="AJ41" s="2">
        <f t="shared" si="29"/>
        <v>0.26147189892478</v>
      </c>
      <c r="AK41" s="2">
        <f t="shared" si="30"/>
        <v>0.142587135381541</v>
      </c>
      <c r="AL41" s="2">
        <f t="shared" si="31"/>
        <v>0.147420477934605</v>
      </c>
      <c r="AM41" s="2">
        <f t="shared" si="32"/>
        <v>3.46193497221111</v>
      </c>
      <c r="AN41" s="2">
        <f t="shared" si="33"/>
        <v>0.1209942061895</v>
      </c>
      <c r="AO41" s="2">
        <f t="shared" si="34"/>
        <v>0.422477453454921</v>
      </c>
      <c r="AP41" s="2">
        <f t="shared" si="35"/>
        <v>2.4630682593513</v>
      </c>
      <c r="AQ41" s="2">
        <f t="shared" si="36"/>
        <v>0.1189426590958</v>
      </c>
      <c r="AR41" s="2">
        <f t="shared" si="37"/>
        <v>0.412360123817936</v>
      </c>
      <c r="AS41" s="2">
        <f t="shared" si="38"/>
        <v>0.682720513192379</v>
      </c>
      <c r="AT41" s="2">
        <f t="shared" si="39"/>
        <v>0.147458321782237</v>
      </c>
      <c r="AU41" s="2">
        <f t="shared" si="40"/>
        <v>0.354407966599292</v>
      </c>
      <c r="AV41" s="2">
        <f t="shared" si="41"/>
        <v>0.144404264743481</v>
      </c>
      <c r="AW41" s="2">
        <f t="shared" si="42"/>
        <v>0.499918174251888</v>
      </c>
      <c r="AX41" s="2">
        <f t="shared" si="43"/>
        <v>-0.0363374325528</v>
      </c>
      <c r="AY41" s="7">
        <f t="shared" si="44"/>
        <v>1.01017895616815</v>
      </c>
      <c r="AZ41" s="2">
        <f t="shared" si="45"/>
        <v>0.110268001661771</v>
      </c>
      <c r="BA41" s="2">
        <f t="shared" si="46"/>
        <v>0.786626068279707</v>
      </c>
      <c r="BB41" s="2">
        <f t="shared" si="47"/>
        <v>0.05944812423573</v>
      </c>
      <c r="BC41" s="2">
        <f t="shared" si="48"/>
        <v>0.700322747414777</v>
      </c>
      <c r="BD41" s="2">
        <f t="shared" si="49"/>
        <v>0.076115688654827</v>
      </c>
      <c r="BE41" s="2">
        <f t="shared" si="50"/>
        <v>-0.066599021967528</v>
      </c>
      <c r="BF41" s="2">
        <f t="shared" si="51"/>
        <v>0.310364344912474</v>
      </c>
    </row>
    <row r="42" s="2" customFormat="1" spans="1:58">
      <c r="A42" s="5">
        <v>182</v>
      </c>
      <c r="B42" s="6">
        <v>0.0334819887973</v>
      </c>
      <c r="C42" s="6">
        <v>0.0702272647426</v>
      </c>
      <c r="D42" s="6">
        <v>0.0588218538239</v>
      </c>
      <c r="E42" s="6">
        <v>0.197389807829</v>
      </c>
      <c r="F42" s="6">
        <v>0.301259928994</v>
      </c>
      <c r="G42" s="2">
        <f t="shared" si="0"/>
        <v>4.2897858844167</v>
      </c>
      <c r="H42" s="2">
        <f t="shared" si="1"/>
        <v>0.2310326642514</v>
      </c>
      <c r="I42" s="2">
        <f t="shared" si="2"/>
        <v>0.621912863072238</v>
      </c>
      <c r="J42" s="2">
        <f t="shared" si="3"/>
        <v>-0.320328706333597</v>
      </c>
      <c r="K42" s="2">
        <f t="shared" si="4"/>
        <v>3.2897858844167</v>
      </c>
      <c r="L42" s="2">
        <f t="shared" si="5"/>
        <v>1.43037063667856</v>
      </c>
      <c r="M42" s="2">
        <f t="shared" si="6"/>
        <v>0.397652425494897</v>
      </c>
      <c r="N42" s="2">
        <f t="shared" si="7"/>
        <v>0.377052261325593</v>
      </c>
      <c r="O42" s="2">
        <f t="shared" si="8"/>
        <v>0.504241482560427</v>
      </c>
      <c r="P42" s="2">
        <f t="shared" si="9"/>
        <v>0.379054330786228</v>
      </c>
      <c r="Q42" s="2">
        <f t="shared" si="10"/>
        <v>0.673286144255472</v>
      </c>
      <c r="R42" s="2">
        <f t="shared" si="11"/>
        <v>5.12156468063566</v>
      </c>
      <c r="S42" s="2">
        <f t="shared" si="12"/>
        <v>0.540738354021111</v>
      </c>
      <c r="T42" s="2">
        <f t="shared" si="13"/>
        <v>-0.238706280000278</v>
      </c>
      <c r="U42" s="2">
        <f t="shared" si="14"/>
        <v>0.422816899532152</v>
      </c>
      <c r="V42" s="2">
        <f t="shared" si="15"/>
        <v>0.404849379851738</v>
      </c>
      <c r="W42" s="2">
        <f t="shared" si="16"/>
        <v>0.2424380751701</v>
      </c>
      <c r="X42" s="2">
        <f t="shared" si="17"/>
        <v>0.40401756997932</v>
      </c>
      <c r="Y42" s="2">
        <f t="shared" si="18"/>
        <v>1.0831833382468</v>
      </c>
      <c r="Z42" s="2">
        <f t="shared" si="19"/>
        <v>1.26308742222559</v>
      </c>
      <c r="AA42" s="2">
        <f t="shared" si="20"/>
        <v>3.10835399088954</v>
      </c>
      <c r="AB42" s="2">
        <f t="shared" si="21"/>
        <v>0.18004089140895</v>
      </c>
      <c r="AC42" s="2">
        <f t="shared" si="22"/>
        <v>1.52621825973397</v>
      </c>
      <c r="AD42" s="2">
        <f t="shared" si="23"/>
        <v>0.103870121165</v>
      </c>
      <c r="AE42" s="2">
        <f t="shared" si="24"/>
        <v>0.208302769448507</v>
      </c>
      <c r="AF42" s="2">
        <f t="shared" si="25"/>
        <v>0.147093282992873</v>
      </c>
      <c r="AG42" s="7">
        <f t="shared" si="26"/>
        <v>0.156015844196948</v>
      </c>
      <c r="AH42" s="2">
        <f t="shared" si="27"/>
        <v>42.2792949983436</v>
      </c>
      <c r="AI42" s="2">
        <f t="shared" si="28"/>
        <v>0.526218259733974</v>
      </c>
      <c r="AJ42" s="2">
        <f t="shared" si="29"/>
        <v>0.331078118934128</v>
      </c>
      <c r="AK42" s="2">
        <f t="shared" si="30"/>
        <v>0.18115158913962</v>
      </c>
      <c r="AL42" s="2">
        <f t="shared" si="31"/>
        <v>0.182933862742557</v>
      </c>
      <c r="AM42" s="2">
        <f t="shared" si="32"/>
        <v>5.12156468063566</v>
      </c>
      <c r="AN42" s="2">
        <f t="shared" si="33"/>
        <v>0.1385679540051</v>
      </c>
      <c r="AO42" s="2">
        <f t="shared" si="34"/>
        <v>0.540833907056204</v>
      </c>
      <c r="AP42" s="2">
        <f t="shared" si="35"/>
        <v>3.35572232082217</v>
      </c>
      <c r="AQ42" s="2">
        <f t="shared" si="36"/>
        <v>0.1271625430864</v>
      </c>
      <c r="AR42" s="2">
        <f t="shared" si="37"/>
        <v>0.475166034305895</v>
      </c>
      <c r="AS42" s="2">
        <f t="shared" si="38"/>
        <v>0.749596989511565</v>
      </c>
      <c r="AT42" s="2">
        <f t="shared" si="39"/>
        <v>0.123448943355643</v>
      </c>
      <c r="AU42" s="2">
        <f t="shared" si="40"/>
        <v>0.346981521991161</v>
      </c>
      <c r="AV42" s="2">
        <f t="shared" si="41"/>
        <v>0.105515428608016</v>
      </c>
      <c r="AW42" s="2">
        <f t="shared" si="42"/>
        <v>0.540404092420948</v>
      </c>
      <c r="AX42" s="2">
        <f t="shared" si="43"/>
        <v>-0.0232924219214</v>
      </c>
      <c r="AY42" s="7">
        <f t="shared" si="44"/>
        <v>1.04936709255229</v>
      </c>
      <c r="AZ42" s="2">
        <f t="shared" si="45"/>
        <v>0.132562182750389</v>
      </c>
      <c r="BA42" s="2">
        <f t="shared" si="46"/>
        <v>0.68209916170036</v>
      </c>
      <c r="BB42" s="2">
        <f t="shared" si="47"/>
        <v>0.0880072214077083</v>
      </c>
      <c r="BC42" s="2">
        <f t="shared" si="48"/>
        <v>0.747928650900072</v>
      </c>
      <c r="BD42" s="2">
        <f t="shared" si="49"/>
        <v>0.0896023131873813</v>
      </c>
      <c r="BE42" s="2">
        <f t="shared" si="50"/>
        <v>-0.0488005927371841</v>
      </c>
      <c r="BF42" s="2">
        <f t="shared" si="51"/>
        <v>0.334938834388302</v>
      </c>
    </row>
    <row r="43" s="2" customFormat="1" spans="1:58">
      <c r="A43" s="5">
        <v>194</v>
      </c>
      <c r="B43" s="6">
        <v>0.0479822879054</v>
      </c>
      <c r="C43" s="6">
        <v>0.0920495606035</v>
      </c>
      <c r="D43" s="6">
        <v>0.0906560385511</v>
      </c>
      <c r="E43" s="6">
        <v>0.210684121028</v>
      </c>
      <c r="F43" s="6">
        <v>0.290427131087</v>
      </c>
      <c r="G43" s="2">
        <f t="shared" si="0"/>
        <v>3.15511697375726</v>
      </c>
      <c r="H43" s="2">
        <f t="shared" si="1"/>
        <v>0.1983775704835</v>
      </c>
      <c r="I43" s="2">
        <f t="shared" si="2"/>
        <v>0.518665777009039</v>
      </c>
      <c r="J43" s="2">
        <f t="shared" si="3"/>
        <v>-0.450732363474656</v>
      </c>
      <c r="K43" s="2">
        <f t="shared" si="4"/>
        <v>2.15511697375726</v>
      </c>
      <c r="L43" s="2">
        <f t="shared" si="5"/>
        <v>1.05725371587863</v>
      </c>
      <c r="M43" s="2">
        <f t="shared" si="6"/>
        <v>0.337194578085935</v>
      </c>
      <c r="N43" s="2">
        <f t="shared" si="7"/>
        <v>0.31291282911121</v>
      </c>
      <c r="O43" s="2">
        <f t="shared" si="8"/>
        <v>0.424198837085059</v>
      </c>
      <c r="P43" s="2">
        <f t="shared" si="9"/>
        <v>0.320767293744219</v>
      </c>
      <c r="Q43" s="2">
        <f t="shared" si="10"/>
        <v>0.524219142833348</v>
      </c>
      <c r="R43" s="2">
        <f t="shared" si="11"/>
        <v>3.20361595023033</v>
      </c>
      <c r="S43" s="2">
        <f t="shared" si="12"/>
        <v>0.428278830954284</v>
      </c>
      <c r="T43" s="2">
        <f t="shared" si="13"/>
        <v>-0.444633781168749</v>
      </c>
      <c r="U43" s="2">
        <f t="shared" si="14"/>
        <v>0.340100286930838</v>
      </c>
      <c r="V43" s="2">
        <f t="shared" si="15"/>
        <v>0.315840084817693</v>
      </c>
      <c r="W43" s="2">
        <f t="shared" si="16"/>
        <v>0.1997710925359</v>
      </c>
      <c r="X43" s="2">
        <f t="shared" si="17"/>
        <v>0.323610616160921</v>
      </c>
      <c r="Y43" s="2">
        <f t="shared" si="18"/>
        <v>1.01203712522483</v>
      </c>
      <c r="Z43" s="2">
        <f t="shared" si="19"/>
        <v>0.789864785460157</v>
      </c>
      <c r="AA43" s="2">
        <f t="shared" si="20"/>
        <v>2.90814190478141</v>
      </c>
      <c r="AB43" s="2">
        <f t="shared" si="21"/>
        <v>0.19054158481905</v>
      </c>
      <c r="AC43" s="2">
        <f t="shared" si="22"/>
        <v>1.37849558699491</v>
      </c>
      <c r="AD43" s="2">
        <f t="shared" si="23"/>
        <v>0.079743010059</v>
      </c>
      <c r="AE43" s="2">
        <f t="shared" si="24"/>
        <v>0.159132347801881</v>
      </c>
      <c r="AF43" s="2">
        <f t="shared" si="25"/>
        <v>0.112648534883849</v>
      </c>
      <c r="AG43" s="7">
        <f t="shared" si="26"/>
        <v>0.119481740751386</v>
      </c>
      <c r="AH43" s="2">
        <f t="shared" si="27"/>
        <v>32.0992750167133</v>
      </c>
      <c r="AI43" s="2">
        <f t="shared" si="28"/>
        <v>0.378495586994912</v>
      </c>
      <c r="AJ43" s="2">
        <f t="shared" si="29"/>
        <v>0.245419826809391</v>
      </c>
      <c r="AK43" s="2">
        <f t="shared" si="30"/>
        <v>0.135758483660096</v>
      </c>
      <c r="AL43" s="2">
        <f t="shared" si="31"/>
        <v>0.139918797891447</v>
      </c>
      <c r="AM43" s="2">
        <f t="shared" si="32"/>
        <v>3.20361595023033</v>
      </c>
      <c r="AN43" s="2">
        <f t="shared" si="33"/>
        <v>0.1200280824769</v>
      </c>
      <c r="AO43" s="2">
        <f t="shared" si="34"/>
        <v>0.398314259355774</v>
      </c>
      <c r="AP43" s="2">
        <f t="shared" si="35"/>
        <v>2.32399434604948</v>
      </c>
      <c r="AQ43" s="2">
        <f t="shared" si="36"/>
        <v>0.1186345604245</v>
      </c>
      <c r="AR43" s="2">
        <f t="shared" si="37"/>
        <v>0.391877639069269</v>
      </c>
      <c r="AS43" s="2">
        <f t="shared" si="38"/>
        <v>0.664369607623674</v>
      </c>
      <c r="AT43" s="2">
        <f t="shared" si="39"/>
        <v>0.155184831212349</v>
      </c>
      <c r="AU43" s="2">
        <f t="shared" si="40"/>
        <v>0.355188873759915</v>
      </c>
      <c r="AV43" s="2">
        <f t="shared" si="41"/>
        <v>0.153195419856776</v>
      </c>
      <c r="AW43" s="2">
        <f t="shared" si="42"/>
        <v>0.4907792905554</v>
      </c>
      <c r="AX43" s="2">
        <f t="shared" si="43"/>
        <v>-0.0388915503655</v>
      </c>
      <c r="AY43" s="7">
        <f t="shared" si="44"/>
        <v>1.00702459481182</v>
      </c>
      <c r="AZ43" s="2">
        <f t="shared" si="45"/>
        <v>0.106942273632274</v>
      </c>
      <c r="BA43" s="2">
        <f t="shared" si="46"/>
        <v>0.832277712875819</v>
      </c>
      <c r="BB43" s="2">
        <f t="shared" si="47"/>
        <v>0.0552328663659671</v>
      </c>
      <c r="BC43" s="2">
        <f t="shared" si="48"/>
        <v>0.708177224225712</v>
      </c>
      <c r="BD43" s="2">
        <f t="shared" si="49"/>
        <v>0.0739988884950658</v>
      </c>
      <c r="BE43" s="2">
        <f t="shared" si="50"/>
        <v>-0.07023997977726</v>
      </c>
      <c r="BF43" s="2">
        <f t="shared" si="51"/>
        <v>0.306810965472872</v>
      </c>
    </row>
    <row r="44" s="2" customFormat="1" spans="1:58">
      <c r="A44" s="5">
        <v>229.5</v>
      </c>
      <c r="B44" s="6">
        <v>0.0415744519004</v>
      </c>
      <c r="C44" s="6">
        <v>0.0730377665082</v>
      </c>
      <c r="D44" s="6">
        <v>0.0638091555385</v>
      </c>
      <c r="E44" s="6">
        <v>0.210740329627</v>
      </c>
      <c r="F44" s="6">
        <v>0.351117011753</v>
      </c>
      <c r="G44" s="2">
        <f t="shared" si="0"/>
        <v>4.80733500679515</v>
      </c>
      <c r="H44" s="2">
        <f t="shared" si="1"/>
        <v>0.2780792452448</v>
      </c>
      <c r="I44" s="2">
        <f t="shared" si="2"/>
        <v>0.655607951382208</v>
      </c>
      <c r="J44" s="2">
        <f t="shared" si="3"/>
        <v>-0.268327168396042</v>
      </c>
      <c r="K44" s="2">
        <f t="shared" si="4"/>
        <v>3.80733500679515</v>
      </c>
      <c r="L44" s="2">
        <f t="shared" si="5"/>
        <v>1.57991110636983</v>
      </c>
      <c r="M44" s="2">
        <f t="shared" si="6"/>
        <v>0.451351740724655</v>
      </c>
      <c r="N44" s="2">
        <f t="shared" si="7"/>
        <v>0.440944271062256</v>
      </c>
      <c r="O44" s="2">
        <f t="shared" si="8"/>
        <v>0.552202834742084</v>
      </c>
      <c r="P44" s="2">
        <f t="shared" si="9"/>
        <v>0.426978880387372</v>
      </c>
      <c r="Q44" s="2">
        <f t="shared" si="10"/>
        <v>0.692431277810098</v>
      </c>
      <c r="R44" s="2">
        <f t="shared" si="11"/>
        <v>5.50261179277242</v>
      </c>
      <c r="S44" s="2">
        <f t="shared" si="12"/>
        <v>0.579686805314327</v>
      </c>
      <c r="T44" s="2">
        <f t="shared" si="13"/>
        <v>-0.204591844992207</v>
      </c>
      <c r="U44" s="2">
        <f t="shared" si="14"/>
        <v>0.471034494070212</v>
      </c>
      <c r="V44" s="2">
        <f t="shared" si="15"/>
        <v>0.464097044223731</v>
      </c>
      <c r="W44" s="2">
        <f t="shared" si="16"/>
        <v>0.2873078562145</v>
      </c>
      <c r="X44" s="2">
        <f t="shared" si="17"/>
        <v>0.446027965494862</v>
      </c>
      <c r="Y44" s="2">
        <f t="shared" si="18"/>
        <v>1.09198501720953</v>
      </c>
      <c r="Z44" s="2">
        <f t="shared" si="19"/>
        <v>1.34576464991107</v>
      </c>
      <c r="AA44" s="2">
        <f t="shared" si="20"/>
        <v>3.16997188267186</v>
      </c>
      <c r="AB44" s="2">
        <f t="shared" si="21"/>
        <v>0.20746308364575</v>
      </c>
      <c r="AC44" s="2">
        <f t="shared" si="22"/>
        <v>1.6661120933732</v>
      </c>
      <c r="AD44" s="2">
        <f t="shared" si="23"/>
        <v>0.140376682126</v>
      </c>
      <c r="AE44" s="2">
        <f t="shared" si="24"/>
        <v>0.24984399381739</v>
      </c>
      <c r="AF44" s="2">
        <f t="shared" si="25"/>
        <v>0.18727592184046</v>
      </c>
      <c r="AG44" s="7">
        <f t="shared" si="26"/>
        <v>0.198298787401467</v>
      </c>
      <c r="AH44" s="2">
        <f t="shared" si="27"/>
        <v>51.0492824418353</v>
      </c>
      <c r="AI44" s="2">
        <f t="shared" si="28"/>
        <v>0.666112093373204</v>
      </c>
      <c r="AJ44" s="2">
        <f t="shared" si="29"/>
        <v>0.407951107043998</v>
      </c>
      <c r="AK44" s="2">
        <f t="shared" si="30"/>
        <v>0.230144279086853</v>
      </c>
      <c r="AL44" s="2">
        <f t="shared" si="31"/>
        <v>0.225580515611102</v>
      </c>
      <c r="AM44" s="2">
        <f t="shared" si="32"/>
        <v>5.50261179277242</v>
      </c>
      <c r="AN44" s="2">
        <f t="shared" si="33"/>
        <v>0.1469311740885</v>
      </c>
      <c r="AO44" s="2">
        <f t="shared" si="34"/>
        <v>0.5351719162756</v>
      </c>
      <c r="AP44" s="2">
        <f t="shared" si="35"/>
        <v>3.3026660178859</v>
      </c>
      <c r="AQ44" s="2">
        <f t="shared" si="36"/>
        <v>0.1377025631188</v>
      </c>
      <c r="AR44" s="2">
        <f t="shared" si="37"/>
        <v>0.48524732879029</v>
      </c>
      <c r="AS44" s="2">
        <f t="shared" si="38"/>
        <v>0.955390733088731</v>
      </c>
      <c r="AT44" s="2">
        <f t="shared" si="39"/>
        <v>0.115039107406481</v>
      </c>
      <c r="AU44" s="2">
        <f t="shared" si="40"/>
        <v>0.331929364407876</v>
      </c>
      <c r="AV44" s="2">
        <f t="shared" si="41"/>
        <v>0.101985891609619</v>
      </c>
      <c r="AW44" s="2">
        <f t="shared" si="42"/>
        <v>0.561188769867498</v>
      </c>
      <c r="AX44" s="2">
        <f t="shared" si="43"/>
        <v>0.00267411900719995</v>
      </c>
      <c r="AY44" s="7">
        <f t="shared" si="44"/>
        <v>1.03318698222723</v>
      </c>
      <c r="AZ44" s="2">
        <f t="shared" si="45"/>
        <v>0.169719422859465</v>
      </c>
      <c r="BA44" s="2">
        <f t="shared" si="46"/>
        <v>0.688948408468844</v>
      </c>
      <c r="BB44" s="2">
        <f t="shared" si="47"/>
        <v>0.141221049034044</v>
      </c>
      <c r="BC44" s="2">
        <f t="shared" si="48"/>
        <v>0.887101926138949</v>
      </c>
      <c r="BD44" s="2">
        <f t="shared" si="49"/>
        <v>0.133917790121935</v>
      </c>
      <c r="BE44" s="2">
        <f t="shared" si="50"/>
        <v>-0.0126735762038881</v>
      </c>
      <c r="BF44" s="2">
        <f t="shared" si="51"/>
        <v>0.381087497933251</v>
      </c>
    </row>
    <row r="45" s="2" customFormat="1" spans="1:58">
      <c r="A45" s="5">
        <v>209.5</v>
      </c>
      <c r="B45" s="6">
        <v>0.0428664121262</v>
      </c>
      <c r="C45" s="6">
        <v>0.0716858070839</v>
      </c>
      <c r="D45" s="6">
        <v>0.0628268029421</v>
      </c>
      <c r="E45" s="6">
        <v>0.195352350495</v>
      </c>
      <c r="F45" s="6">
        <v>0.317671358323</v>
      </c>
      <c r="G45" s="2">
        <f t="shared" si="0"/>
        <v>4.43144007503748</v>
      </c>
      <c r="H45" s="2">
        <f t="shared" si="1"/>
        <v>0.2459855512391</v>
      </c>
      <c r="I45" s="2">
        <f t="shared" si="2"/>
        <v>0.631773531076618</v>
      </c>
      <c r="J45" s="2">
        <f t="shared" si="3"/>
        <v>-0.305676656644535</v>
      </c>
      <c r="K45" s="2">
        <f t="shared" si="4"/>
        <v>3.43144007503748</v>
      </c>
      <c r="L45" s="2">
        <f t="shared" si="5"/>
        <v>1.47237665455692</v>
      </c>
      <c r="M45" s="2">
        <f t="shared" si="6"/>
        <v>0.414882053252289</v>
      </c>
      <c r="N45" s="2">
        <f t="shared" si="7"/>
        <v>0.397415070156386</v>
      </c>
      <c r="O45" s="2">
        <f t="shared" si="8"/>
        <v>0.519412974664683</v>
      </c>
      <c r="P45" s="2">
        <f t="shared" si="9"/>
        <v>0.394217148663214</v>
      </c>
      <c r="Q45" s="2">
        <f t="shared" si="10"/>
        <v>0.669765537193609</v>
      </c>
      <c r="R45" s="2">
        <f t="shared" si="11"/>
        <v>5.05630309751333</v>
      </c>
      <c r="S45" s="2">
        <f t="shared" si="12"/>
        <v>0.546939296795962</v>
      </c>
      <c r="T45" s="2">
        <f t="shared" si="13"/>
        <v>-0.244743780217249</v>
      </c>
      <c r="U45" s="2">
        <f t="shared" si="14"/>
        <v>0.434148360425999</v>
      </c>
      <c r="V45" s="2">
        <f t="shared" si="15"/>
        <v>0.419052066943393</v>
      </c>
      <c r="W45" s="2">
        <f t="shared" si="16"/>
        <v>0.2548445553809</v>
      </c>
      <c r="X45" s="2">
        <f t="shared" si="17"/>
        <v>0.41314174387921</v>
      </c>
      <c r="Y45" s="2">
        <f t="shared" si="18"/>
        <v>1.08155699673832</v>
      </c>
      <c r="Z45" s="2">
        <f t="shared" si="19"/>
        <v>1.24862248888366</v>
      </c>
      <c r="AA45" s="2">
        <f t="shared" si="20"/>
        <v>3.11279924156667</v>
      </c>
      <c r="AB45" s="2">
        <f t="shared" si="21"/>
        <v>0.19024908063255</v>
      </c>
      <c r="AC45" s="2">
        <f t="shared" si="22"/>
        <v>1.62614556476059</v>
      </c>
      <c r="AD45" s="2">
        <f t="shared" si="23"/>
        <v>0.122319007828</v>
      </c>
      <c r="AE45" s="2">
        <f t="shared" si="24"/>
        <v>0.238427592576221</v>
      </c>
      <c r="AF45" s="2">
        <f t="shared" si="25"/>
        <v>0.170775368723777</v>
      </c>
      <c r="AG45" s="7">
        <f t="shared" si="26"/>
        <v>0.18111966200286</v>
      </c>
      <c r="AH45" s="2">
        <f t="shared" si="27"/>
        <v>48.6212530341648</v>
      </c>
      <c r="AI45" s="2">
        <f t="shared" si="28"/>
        <v>0.626145564760587</v>
      </c>
      <c r="AJ45" s="2">
        <f t="shared" si="29"/>
        <v>0.386381132572678</v>
      </c>
      <c r="AK45" s="2">
        <f t="shared" si="30"/>
        <v>0.208380346278495</v>
      </c>
      <c r="AL45" s="2">
        <f t="shared" si="31"/>
        <v>0.210824740973353</v>
      </c>
      <c r="AM45" s="2">
        <f t="shared" si="32"/>
        <v>5.05630309751333</v>
      </c>
      <c r="AN45" s="2">
        <f t="shared" si="33"/>
        <v>0.1325255475529</v>
      </c>
      <c r="AO45" s="2">
        <f t="shared" si="34"/>
        <v>0.513308475098037</v>
      </c>
      <c r="AP45" s="2">
        <f t="shared" si="35"/>
        <v>3.1093791399036</v>
      </c>
      <c r="AQ45" s="2">
        <f t="shared" si="36"/>
        <v>0.1236665434111</v>
      </c>
      <c r="AR45" s="2">
        <f t="shared" si="37"/>
        <v>0.463104391268731</v>
      </c>
      <c r="AS45" s="2">
        <f t="shared" si="38"/>
        <v>0.922984361028006</v>
      </c>
      <c r="AT45" s="2">
        <f t="shared" si="39"/>
        <v>0.122600719048204</v>
      </c>
      <c r="AU45" s="2">
        <f t="shared" si="40"/>
        <v>0.334101541333176</v>
      </c>
      <c r="AV45" s="2">
        <f t="shared" si="41"/>
        <v>0.109102625870851</v>
      </c>
      <c r="AW45" s="2">
        <f t="shared" si="42"/>
        <v>0.55165594513762</v>
      </c>
      <c r="AX45" s="2">
        <f t="shared" si="43"/>
        <v>-0.00134753558310001</v>
      </c>
      <c r="AY45" s="7">
        <f t="shared" si="44"/>
        <v>1.03601432725286</v>
      </c>
      <c r="AZ45" s="2">
        <f t="shared" si="45"/>
        <v>0.156647177283153</v>
      </c>
      <c r="BA45" s="2">
        <f t="shared" si="46"/>
        <v>0.718758599886257</v>
      </c>
      <c r="BB45" s="2">
        <f t="shared" si="47"/>
        <v>0.118906849436888</v>
      </c>
      <c r="BC45" s="2">
        <f t="shared" si="48"/>
        <v>0.797229016952715</v>
      </c>
      <c r="BD45" s="2">
        <f t="shared" si="49"/>
        <v>0.118308417422379</v>
      </c>
      <c r="BE45" s="2">
        <f t="shared" si="50"/>
        <v>-0.016780436448996</v>
      </c>
      <c r="BF45" s="2">
        <f t="shared" si="51"/>
        <v>0.377394083240417</v>
      </c>
    </row>
    <row r="46" s="2" customFormat="1" spans="1:58">
      <c r="A46" s="5">
        <v>200</v>
      </c>
      <c r="B46" s="6">
        <v>0.0761631638751</v>
      </c>
      <c r="C46" s="6">
        <v>0.126759882352</v>
      </c>
      <c r="D46" s="6">
        <v>0.131462692954</v>
      </c>
      <c r="E46" s="6">
        <v>0.250012592613</v>
      </c>
      <c r="F46" s="6">
        <v>0.331002779259</v>
      </c>
      <c r="G46" s="2">
        <f t="shared" si="0"/>
        <v>2.61125817661961</v>
      </c>
      <c r="H46" s="2">
        <f t="shared" si="1"/>
        <v>0.204242896907</v>
      </c>
      <c r="I46" s="2">
        <f t="shared" si="2"/>
        <v>0.446176401081315</v>
      </c>
      <c r="J46" s="2">
        <f t="shared" si="3"/>
        <v>-0.522822176735431</v>
      </c>
      <c r="K46" s="2">
        <f t="shared" si="4"/>
        <v>1.61125817661961</v>
      </c>
      <c r="L46" s="2">
        <f t="shared" si="5"/>
        <v>0.84788287779444</v>
      </c>
      <c r="M46" s="2">
        <f t="shared" si="6"/>
        <v>0.319875014594097</v>
      </c>
      <c r="N46" s="2">
        <f t="shared" si="7"/>
        <v>0.299890902793992</v>
      </c>
      <c r="O46" s="2">
        <f t="shared" si="8"/>
        <v>0.383515830811587</v>
      </c>
      <c r="P46" s="2">
        <f t="shared" si="9"/>
        <v>0.301874743376102</v>
      </c>
      <c r="Q46" s="2">
        <f t="shared" si="10"/>
        <v>0.431470235713288</v>
      </c>
      <c r="R46" s="2">
        <f t="shared" si="11"/>
        <v>2.51784572353786</v>
      </c>
      <c r="S46" s="2">
        <f t="shared" si="12"/>
        <v>0.371854360517197</v>
      </c>
      <c r="T46" s="2">
        <f t="shared" si="13"/>
        <v>-0.535931402414098</v>
      </c>
      <c r="U46" s="2">
        <f t="shared" si="14"/>
        <v>0.310982718963721</v>
      </c>
      <c r="V46" s="2">
        <f t="shared" si="15"/>
        <v>0.291108857709422</v>
      </c>
      <c r="W46" s="2">
        <f t="shared" si="16"/>
        <v>0.199540086305</v>
      </c>
      <c r="X46" s="2">
        <f t="shared" si="17"/>
        <v>0.293420531102151</v>
      </c>
      <c r="Y46" s="2">
        <f t="shared" si="18"/>
        <v>0.96512705677195</v>
      </c>
      <c r="Z46" s="2">
        <f t="shared" si="19"/>
        <v>0.586772108255581</v>
      </c>
      <c r="AA46" s="2">
        <f t="shared" si="20"/>
        <v>2.76692922403741</v>
      </c>
      <c r="AB46" s="2">
        <f t="shared" si="21"/>
        <v>0.2312327361065</v>
      </c>
      <c r="AC46" s="2">
        <f t="shared" si="22"/>
        <v>1.32394442935667</v>
      </c>
      <c r="AD46" s="2">
        <f t="shared" si="23"/>
        <v>0.080990186646</v>
      </c>
      <c r="AE46" s="2">
        <f t="shared" si="24"/>
        <v>0.13939422357287</v>
      </c>
      <c r="AF46" s="2">
        <f t="shared" si="25"/>
        <v>0.1062523608422</v>
      </c>
      <c r="AG46" s="7">
        <f t="shared" si="26"/>
        <v>0.112380714585606</v>
      </c>
      <c r="AH46" s="2">
        <f t="shared" si="27"/>
        <v>28.0615484848984</v>
      </c>
      <c r="AI46" s="2">
        <f t="shared" si="28"/>
        <v>0.32394442935667</v>
      </c>
      <c r="AJ46" s="2">
        <f t="shared" si="29"/>
        <v>0.212499369907136</v>
      </c>
      <c r="AK46" s="2">
        <f t="shared" si="30"/>
        <v>0.126223000695982</v>
      </c>
      <c r="AL46" s="2">
        <f t="shared" si="31"/>
        <v>0.12678362700091</v>
      </c>
      <c r="AM46" s="2">
        <f t="shared" si="32"/>
        <v>2.51784572353786</v>
      </c>
      <c r="AN46" s="2">
        <f t="shared" si="33"/>
        <v>0.118549899659</v>
      </c>
      <c r="AO46" s="2">
        <f t="shared" si="34"/>
        <v>0.310766920281074</v>
      </c>
      <c r="AP46" s="2">
        <f t="shared" si="35"/>
        <v>1.90177598674691</v>
      </c>
      <c r="AQ46" s="2">
        <f t="shared" si="36"/>
        <v>0.123252710261</v>
      </c>
      <c r="AR46" s="2">
        <f t="shared" si="37"/>
        <v>0.327127692309396</v>
      </c>
      <c r="AS46" s="2">
        <f t="shared" si="38"/>
        <v>0.683173810175818</v>
      </c>
      <c r="AT46" s="2">
        <f t="shared" si="39"/>
        <v>0.179096233720376</v>
      </c>
      <c r="AU46" s="2">
        <f t="shared" si="40"/>
        <v>0.353237261575515</v>
      </c>
      <c r="AV46" s="2">
        <f t="shared" si="41"/>
        <v>0.184514723251312</v>
      </c>
      <c r="AW46" s="2">
        <f t="shared" si="42"/>
        <v>0.464579606868089</v>
      </c>
      <c r="AX46" s="2">
        <f t="shared" si="43"/>
        <v>-0.042262523615</v>
      </c>
      <c r="AY46" s="7">
        <f t="shared" si="44"/>
        <v>0.976974422742636</v>
      </c>
      <c r="AZ46" s="2">
        <f t="shared" si="45"/>
        <v>0.107677996412901</v>
      </c>
      <c r="BA46" s="2">
        <f t="shared" si="46"/>
        <v>1.02141813211681</v>
      </c>
      <c r="BB46" s="2">
        <f t="shared" si="47"/>
        <v>0.0531452573233904</v>
      </c>
      <c r="BC46" s="2">
        <f t="shared" si="48"/>
        <v>0.803052476892829</v>
      </c>
      <c r="BD46" s="2">
        <f t="shared" si="49"/>
        <v>0.0844625685198876</v>
      </c>
      <c r="BE46" s="2">
        <f t="shared" si="50"/>
        <v>-0.0756483592369201</v>
      </c>
      <c r="BF46" s="2">
        <f t="shared" si="51"/>
        <v>0.312419534594493</v>
      </c>
    </row>
    <row r="47" s="2" customFormat="1" spans="1:58">
      <c r="A47" s="5">
        <v>222.5</v>
      </c>
      <c r="B47" s="6">
        <v>0.0332466461182</v>
      </c>
      <c r="C47" s="6">
        <v>0.0637699881951</v>
      </c>
      <c r="D47" s="6">
        <v>0.0472130460821</v>
      </c>
      <c r="E47" s="6">
        <v>0.207589974632</v>
      </c>
      <c r="F47" s="6">
        <v>0.354649472611</v>
      </c>
      <c r="G47" s="2">
        <f t="shared" si="0"/>
        <v>5.5613852636443</v>
      </c>
      <c r="H47" s="2">
        <f t="shared" si="1"/>
        <v>0.2908794844159</v>
      </c>
      <c r="I47" s="2">
        <f t="shared" si="2"/>
        <v>0.695186318187759</v>
      </c>
      <c r="J47" s="2">
        <f t="shared" si="3"/>
        <v>-0.199496524549406</v>
      </c>
      <c r="K47" s="2">
        <f t="shared" si="4"/>
        <v>4.5613852636443</v>
      </c>
      <c r="L47" s="2">
        <f t="shared" si="5"/>
        <v>1.78073373283846</v>
      </c>
      <c r="M47" s="2">
        <f t="shared" si="6"/>
        <v>0.475076199105027</v>
      </c>
      <c r="N47" s="2">
        <f t="shared" si="7"/>
        <v>0.469076195266135</v>
      </c>
      <c r="O47" s="2">
        <f t="shared" si="8"/>
        <v>0.583348633277668</v>
      </c>
      <c r="P47" s="2">
        <f t="shared" si="9"/>
        <v>0.449683708630236</v>
      </c>
      <c r="Q47" s="2">
        <f t="shared" si="10"/>
        <v>0.765028864918073</v>
      </c>
      <c r="R47" s="2">
        <f t="shared" si="11"/>
        <v>7.51168378321303</v>
      </c>
      <c r="S47" s="2">
        <f t="shared" si="12"/>
        <v>0.634721560717454</v>
      </c>
      <c r="T47" s="2">
        <f t="shared" si="13"/>
        <v>-0.0518553905039514</v>
      </c>
      <c r="U47" s="2">
        <f t="shared" si="14"/>
        <v>0.511335852455222</v>
      </c>
      <c r="V47" s="2">
        <f t="shared" si="15"/>
        <v>0.514718791476654</v>
      </c>
      <c r="W47" s="2">
        <f t="shared" si="16"/>
        <v>0.3074364265289</v>
      </c>
      <c r="X47" s="2">
        <f t="shared" si="17"/>
        <v>0.484971896527905</v>
      </c>
      <c r="Y47" s="2">
        <f t="shared" si="18"/>
        <v>1.12473501986827</v>
      </c>
      <c r="Z47" s="2">
        <f t="shared" si="19"/>
        <v>1.74074511460169</v>
      </c>
      <c r="AA47" s="2">
        <f t="shared" si="20"/>
        <v>3.28305054156642</v>
      </c>
      <c r="AB47" s="2">
        <f t="shared" si="21"/>
        <v>0.20093125934655</v>
      </c>
      <c r="AC47" s="2">
        <f t="shared" si="22"/>
        <v>1.7084132951974</v>
      </c>
      <c r="AD47" s="2">
        <f t="shared" si="23"/>
        <v>0.147059497979</v>
      </c>
      <c r="AE47" s="2">
        <f t="shared" si="24"/>
        <v>0.261560263514276</v>
      </c>
      <c r="AF47" s="2">
        <f t="shared" si="25"/>
        <v>0.196124758874713</v>
      </c>
      <c r="AG47" s="7">
        <f t="shared" si="26"/>
        <v>0.207664333631208</v>
      </c>
      <c r="AH47" s="2">
        <f t="shared" si="27"/>
        <v>53.5565042205772</v>
      </c>
      <c r="AI47" s="2">
        <f t="shared" si="28"/>
        <v>0.708413295197401</v>
      </c>
      <c r="AJ47" s="2">
        <f t="shared" si="29"/>
        <v>0.430456464893779</v>
      </c>
      <c r="AK47" s="2">
        <f t="shared" si="30"/>
        <v>0.244592986620797</v>
      </c>
      <c r="AL47" s="2">
        <f t="shared" si="31"/>
        <v>0.23619454504573</v>
      </c>
      <c r="AM47" s="2">
        <f t="shared" si="32"/>
        <v>7.51168378321303</v>
      </c>
      <c r="AN47" s="2">
        <f t="shared" si="33"/>
        <v>0.1603769285499</v>
      </c>
      <c r="AO47" s="2">
        <f t="shared" si="34"/>
        <v>0.629415334639419</v>
      </c>
      <c r="AP47" s="2">
        <f t="shared" si="35"/>
        <v>4.3968773857763</v>
      </c>
      <c r="AQ47" s="2">
        <f t="shared" si="36"/>
        <v>0.1438199864369</v>
      </c>
      <c r="AR47" s="2">
        <f t="shared" si="37"/>
        <v>0.529997074507769</v>
      </c>
      <c r="AS47" s="2">
        <f t="shared" si="38"/>
        <v>0.916961680889428</v>
      </c>
      <c r="AT47" s="2">
        <f t="shared" si="39"/>
        <v>0.101867455321136</v>
      </c>
      <c r="AU47" s="2">
        <f t="shared" si="40"/>
        <v>0.331608379810957</v>
      </c>
      <c r="AV47" s="2">
        <f t="shared" si="41"/>
        <v>0.0774679677238028</v>
      </c>
      <c r="AW47" s="2">
        <f t="shared" si="42"/>
        <v>0.58191487686936</v>
      </c>
      <c r="AX47" s="2">
        <f t="shared" si="43"/>
        <v>0.00323951154210002</v>
      </c>
      <c r="AY47" s="7">
        <f t="shared" si="44"/>
        <v>1.05692028142255</v>
      </c>
      <c r="AZ47" s="2">
        <f t="shared" si="45"/>
        <v>0.173262759043708</v>
      </c>
      <c r="BA47" s="2">
        <f t="shared" si="46"/>
        <v>0.631699582772637</v>
      </c>
      <c r="BB47" s="2">
        <f t="shared" si="47"/>
        <v>0.151849925837121</v>
      </c>
      <c r="BC47" s="2">
        <f t="shared" si="48"/>
        <v>0.89934165481062</v>
      </c>
      <c r="BD47" s="2">
        <f t="shared" si="49"/>
        <v>0.126041406831029</v>
      </c>
      <c r="BE47" s="2">
        <f t="shared" si="50"/>
        <v>-0.0125935017518039</v>
      </c>
      <c r="BF47" s="2">
        <f t="shared" si="51"/>
        <v>0.376244837781219</v>
      </c>
    </row>
    <row r="48" s="2" customFormat="1" spans="1:58">
      <c r="A48" s="5">
        <v>202.5</v>
      </c>
      <c r="B48" s="6">
        <v>0.0476326281418</v>
      </c>
      <c r="C48" s="6">
        <v>0.0835570902157</v>
      </c>
      <c r="D48" s="6">
        <v>0.0785164686704</v>
      </c>
      <c r="E48" s="6">
        <v>0.208623584367</v>
      </c>
      <c r="F48" s="6">
        <v>0.315974719696</v>
      </c>
      <c r="G48" s="2">
        <f t="shared" si="0"/>
        <v>3.78154288140385</v>
      </c>
      <c r="H48" s="2">
        <f t="shared" si="1"/>
        <v>0.2324176294803</v>
      </c>
      <c r="I48" s="2">
        <f t="shared" si="2"/>
        <v>0.581724968361509</v>
      </c>
      <c r="J48" s="2">
        <f t="shared" si="3"/>
        <v>-0.375719105275912</v>
      </c>
      <c r="K48" s="2">
        <f t="shared" si="4"/>
        <v>2.78154288140385</v>
      </c>
      <c r="L48" s="2">
        <f t="shared" si="5"/>
        <v>1.27204282344614</v>
      </c>
      <c r="M48" s="2">
        <f t="shared" si="6"/>
        <v>0.387564331109838</v>
      </c>
      <c r="N48" s="2">
        <f t="shared" si="7"/>
        <v>0.367667365058174</v>
      </c>
      <c r="O48" s="2">
        <f t="shared" si="8"/>
        <v>0.48183936180446</v>
      </c>
      <c r="P48" s="2">
        <f t="shared" si="9"/>
        <v>0.36769979352195</v>
      </c>
      <c r="Q48" s="2">
        <f t="shared" si="10"/>
        <v>0.601935500787538</v>
      </c>
      <c r="R48" s="2">
        <f t="shared" si="11"/>
        <v>4.02431139666269</v>
      </c>
      <c r="S48" s="2">
        <f t="shared" si="12"/>
        <v>0.496764559958492</v>
      </c>
      <c r="T48" s="2">
        <f t="shared" si="13"/>
        <v>-0.348692815728166</v>
      </c>
      <c r="U48" s="2">
        <f t="shared" si="14"/>
        <v>0.398201101554618</v>
      </c>
      <c r="V48" s="2">
        <f t="shared" si="15"/>
        <v>0.379055687000278</v>
      </c>
      <c r="W48" s="2">
        <f t="shared" si="16"/>
        <v>0.2374582510256</v>
      </c>
      <c r="X48" s="2">
        <f t="shared" si="17"/>
        <v>0.378066860815951</v>
      </c>
      <c r="Y48" s="2">
        <f t="shared" si="18"/>
        <v>1.04973115643365</v>
      </c>
      <c r="Z48" s="2">
        <f t="shared" si="19"/>
        <v>1.00606864206156</v>
      </c>
      <c r="AA48" s="2">
        <f t="shared" si="20"/>
        <v>3.01744246128809</v>
      </c>
      <c r="AB48" s="2">
        <f t="shared" si="21"/>
        <v>0.1972455941832</v>
      </c>
      <c r="AC48" s="2">
        <f t="shared" si="22"/>
        <v>1.51456855012209</v>
      </c>
      <c r="AD48" s="2">
        <f t="shared" si="23"/>
        <v>0.107351135329</v>
      </c>
      <c r="AE48" s="2">
        <f t="shared" si="24"/>
        <v>0.204634926376178</v>
      </c>
      <c r="AF48" s="2">
        <f t="shared" si="25"/>
        <v>0.14821535573094</v>
      </c>
      <c r="AG48" s="7">
        <f t="shared" si="26"/>
        <v>0.157160813515849</v>
      </c>
      <c r="AH48" s="2">
        <f t="shared" si="27"/>
        <v>41.5130613004308</v>
      </c>
      <c r="AI48" s="2">
        <f t="shared" si="28"/>
        <v>0.514568550122087</v>
      </c>
      <c r="AJ48" s="2">
        <f t="shared" si="29"/>
        <v>0.324497607648701</v>
      </c>
      <c r="AK48" s="2">
        <f t="shared" si="30"/>
        <v>0.18002044635854</v>
      </c>
      <c r="AL48" s="2">
        <f t="shared" si="31"/>
        <v>0.181898371997983</v>
      </c>
      <c r="AM48" s="2">
        <f t="shared" si="32"/>
        <v>4.02431139666269</v>
      </c>
      <c r="AN48" s="2">
        <f t="shared" si="33"/>
        <v>0.1301071156966</v>
      </c>
      <c r="AO48" s="2">
        <f t="shared" si="34"/>
        <v>0.453113783048767</v>
      </c>
      <c r="AP48" s="2">
        <f t="shared" si="35"/>
        <v>2.6570678470369</v>
      </c>
      <c r="AQ48" s="2">
        <f t="shared" si="36"/>
        <v>0.1250664941513</v>
      </c>
      <c r="AR48" s="2">
        <f t="shared" si="37"/>
        <v>0.428045059208393</v>
      </c>
      <c r="AS48" s="2">
        <f t="shared" si="38"/>
        <v>0.825098110539433</v>
      </c>
      <c r="AT48" s="2">
        <f t="shared" si="39"/>
        <v>0.137394309089049</v>
      </c>
      <c r="AU48" s="2">
        <f t="shared" si="40"/>
        <v>0.343043219429858</v>
      </c>
      <c r="AV48" s="2">
        <f t="shared" si="41"/>
        <v>0.130184953544667</v>
      </c>
      <c r="AW48" s="2">
        <f t="shared" si="42"/>
        <v>0.523904792223806</v>
      </c>
      <c r="AX48" s="2">
        <f t="shared" si="43"/>
        <v>-0.0177153588223</v>
      </c>
      <c r="AY48" s="7">
        <f t="shared" si="44"/>
        <v>1.02168777625248</v>
      </c>
      <c r="AZ48" s="2">
        <f t="shared" si="45"/>
        <v>0.138265109445957</v>
      </c>
      <c r="BA48" s="2">
        <f t="shared" si="46"/>
        <v>0.767769245168622</v>
      </c>
      <c r="BB48" s="2">
        <f t="shared" si="47"/>
        <v>0.0921881669682454</v>
      </c>
      <c r="BC48" s="2">
        <f t="shared" si="48"/>
        <v>0.784596332542118</v>
      </c>
      <c r="BD48" s="2">
        <f t="shared" si="49"/>
        <v>0.106265326604778</v>
      </c>
      <c r="BE48" s="2">
        <f t="shared" si="50"/>
        <v>-0.0405180960022681</v>
      </c>
      <c r="BF48" s="2">
        <f t="shared" si="51"/>
        <v>0.351772637424443</v>
      </c>
    </row>
    <row r="49" s="2" customFormat="1" spans="1:58">
      <c r="A49" s="5">
        <v>205.5</v>
      </c>
      <c r="B49" s="6">
        <v>0.0380245660937</v>
      </c>
      <c r="C49" s="6">
        <v>0.071108078303</v>
      </c>
      <c r="D49" s="6">
        <v>0.0592473850931</v>
      </c>
      <c r="E49" s="6">
        <v>0.205444717097</v>
      </c>
      <c r="F49" s="6">
        <v>0.327258013413</v>
      </c>
      <c r="G49" s="2">
        <f t="shared" si="0"/>
        <v>4.60226209487078</v>
      </c>
      <c r="H49" s="2">
        <f t="shared" si="1"/>
        <v>0.25614993511</v>
      </c>
      <c r="I49" s="2">
        <f t="shared" si="2"/>
        <v>0.643001350859481</v>
      </c>
      <c r="J49" s="2">
        <f t="shared" si="3"/>
        <v>-0.28843444116438</v>
      </c>
      <c r="K49" s="2">
        <f t="shared" si="4"/>
        <v>3.60226209487078</v>
      </c>
      <c r="L49" s="2">
        <f t="shared" si="5"/>
        <v>1.5219262114675</v>
      </c>
      <c r="M49" s="2">
        <f t="shared" si="6"/>
        <v>0.42769301536201</v>
      </c>
      <c r="N49" s="2">
        <f t="shared" si="7"/>
        <v>0.41246173747019</v>
      </c>
      <c r="O49" s="2">
        <f t="shared" si="8"/>
        <v>0.532148941592123</v>
      </c>
      <c r="P49" s="2">
        <f t="shared" si="9"/>
        <v>0.405838335175841</v>
      </c>
      <c r="Q49" s="2">
        <f t="shared" si="10"/>
        <v>0.693420142010436</v>
      </c>
      <c r="R49" s="2">
        <f t="shared" si="11"/>
        <v>5.52358577342703</v>
      </c>
      <c r="S49" s="2">
        <f t="shared" si="12"/>
        <v>0.568873298783367</v>
      </c>
      <c r="T49" s="2">
        <f t="shared" si="13"/>
        <v>-0.202768561919042</v>
      </c>
      <c r="U49" s="2">
        <f t="shared" si="14"/>
        <v>0.453483919169934</v>
      </c>
      <c r="V49" s="2">
        <f t="shared" si="15"/>
        <v>0.442115748637731</v>
      </c>
      <c r="W49" s="2">
        <f t="shared" si="16"/>
        <v>0.2680106283199</v>
      </c>
      <c r="X49" s="2">
        <f t="shared" si="17"/>
        <v>0.431096239777026</v>
      </c>
      <c r="Y49" s="2">
        <f t="shared" si="18"/>
        <v>1.09243770623795</v>
      </c>
      <c r="Z49" s="2">
        <f t="shared" si="19"/>
        <v>1.35023100426895</v>
      </c>
      <c r="AA49" s="2">
        <f t="shared" si="20"/>
        <v>3.15228289361546</v>
      </c>
      <c r="AB49" s="2">
        <f t="shared" si="21"/>
        <v>0.19325269925305</v>
      </c>
      <c r="AC49" s="2">
        <f t="shared" si="22"/>
        <v>1.5929249388218</v>
      </c>
      <c r="AD49" s="2">
        <f t="shared" si="23"/>
        <v>0.121813296316</v>
      </c>
      <c r="AE49" s="2">
        <f t="shared" si="24"/>
        <v>0.22867030585591</v>
      </c>
      <c r="AF49" s="2">
        <f t="shared" si="25"/>
        <v>0.166898423377503</v>
      </c>
      <c r="AG49" s="7">
        <f t="shared" si="26"/>
        <v>0.176933728434865</v>
      </c>
      <c r="AH49" s="2">
        <f t="shared" si="27"/>
        <v>46.5571910434078</v>
      </c>
      <c r="AI49" s="2">
        <f t="shared" si="28"/>
        <v>0.592924938821796</v>
      </c>
      <c r="AJ49" s="2">
        <f t="shared" si="29"/>
        <v>0.368217771312001</v>
      </c>
      <c r="AK49" s="2">
        <f t="shared" si="30"/>
        <v>0.206112613394021</v>
      </c>
      <c r="AL49" s="2">
        <f t="shared" si="31"/>
        <v>0.203988547327547</v>
      </c>
      <c r="AM49" s="2">
        <f t="shared" si="32"/>
        <v>5.52358577342703</v>
      </c>
      <c r="AN49" s="2">
        <f t="shared" si="33"/>
        <v>0.1461973320039</v>
      </c>
      <c r="AO49" s="2">
        <f t="shared" si="34"/>
        <v>0.552329785415744</v>
      </c>
      <c r="AP49" s="2">
        <f t="shared" si="35"/>
        <v>3.467574421625</v>
      </c>
      <c r="AQ49" s="2">
        <f t="shared" si="36"/>
        <v>0.134336638794</v>
      </c>
      <c r="AR49" s="2">
        <f t="shared" si="37"/>
        <v>0.485754044176984</v>
      </c>
      <c r="AS49" s="2">
        <f t="shared" si="38"/>
        <v>0.833211486463723</v>
      </c>
      <c r="AT49" s="2">
        <f t="shared" si="39"/>
        <v>0.117765494199727</v>
      </c>
      <c r="AU49" s="2">
        <f t="shared" si="40"/>
        <v>0.340246835761143</v>
      </c>
      <c r="AV49" s="2">
        <f t="shared" si="41"/>
        <v>0.100088476260768</v>
      </c>
      <c r="AW49" s="2">
        <f t="shared" si="42"/>
        <v>0.55284728355797</v>
      </c>
      <c r="AX49" s="2">
        <f t="shared" si="43"/>
        <v>-0.012523342478</v>
      </c>
      <c r="AY49" s="7">
        <f t="shared" si="44"/>
        <v>1.04630371350595</v>
      </c>
      <c r="AZ49" s="2">
        <f t="shared" si="45"/>
        <v>0.150266889017962</v>
      </c>
      <c r="BA49" s="2">
        <f t="shared" si="46"/>
        <v>0.676155009075705</v>
      </c>
      <c r="BB49" s="2">
        <f t="shared" si="47"/>
        <v>0.112433913638985</v>
      </c>
      <c r="BC49" s="2">
        <f t="shared" si="48"/>
        <v>0.819691713110739</v>
      </c>
      <c r="BD49" s="2">
        <f t="shared" si="49"/>
        <v>0.109287400715959</v>
      </c>
      <c r="BE49" s="2">
        <f t="shared" si="50"/>
        <v>-0.0341540098236</v>
      </c>
      <c r="BF49" s="2">
        <f t="shared" si="51"/>
        <v>0.355629588569686</v>
      </c>
    </row>
    <row r="50" s="2" customFormat="1" spans="1:58">
      <c r="A50" s="5">
        <v>182.5</v>
      </c>
      <c r="B50" s="6">
        <v>0.0594685923294</v>
      </c>
      <c r="C50" s="6">
        <v>0.103577258248</v>
      </c>
      <c r="D50" s="6">
        <v>0.100168958543</v>
      </c>
      <c r="E50" s="6">
        <v>0.224367679564</v>
      </c>
      <c r="F50" s="6">
        <v>0.309989260609</v>
      </c>
      <c r="G50" s="2">
        <f t="shared" si="0"/>
        <v>2.99283130150808</v>
      </c>
      <c r="H50" s="2">
        <f t="shared" si="1"/>
        <v>0.206412002361</v>
      </c>
      <c r="I50" s="2">
        <f t="shared" si="2"/>
        <v>0.499102303860269</v>
      </c>
      <c r="J50" s="2">
        <f t="shared" si="3"/>
        <v>-0.471519018485469</v>
      </c>
      <c r="K50" s="2">
        <f t="shared" si="4"/>
        <v>1.99283130150808</v>
      </c>
      <c r="L50" s="2">
        <f t="shared" si="5"/>
        <v>0.997309728112355</v>
      </c>
      <c r="M50" s="2">
        <f t="shared" si="6"/>
        <v>0.33891128576918</v>
      </c>
      <c r="N50" s="2">
        <f t="shared" si="7"/>
        <v>0.316776732807937</v>
      </c>
      <c r="O50" s="2">
        <f t="shared" si="8"/>
        <v>0.417454497197484</v>
      </c>
      <c r="P50" s="2">
        <f t="shared" si="9"/>
        <v>0.320968387731232</v>
      </c>
      <c r="Q50" s="2">
        <f t="shared" si="10"/>
        <v>0.5115594233362</v>
      </c>
      <c r="R50" s="2">
        <f t="shared" si="11"/>
        <v>3.09466390704192</v>
      </c>
      <c r="S50" s="2">
        <f t="shared" si="12"/>
        <v>0.426884226554794</v>
      </c>
      <c r="T50" s="2">
        <f t="shared" si="13"/>
        <v>-0.458406605820934</v>
      </c>
      <c r="U50" s="2">
        <f t="shared" si="14"/>
        <v>0.345797517921924</v>
      </c>
      <c r="V50" s="2">
        <f t="shared" si="15"/>
        <v>0.323736241934653</v>
      </c>
      <c r="W50" s="2">
        <f t="shared" si="16"/>
        <v>0.209820302066</v>
      </c>
      <c r="X50" s="2">
        <f t="shared" si="17"/>
        <v>0.327621050497538</v>
      </c>
      <c r="Y50" s="2">
        <f t="shared" si="18"/>
        <v>1.0057631049786</v>
      </c>
      <c r="Z50" s="2">
        <f t="shared" si="19"/>
        <v>0.759165684931899</v>
      </c>
      <c r="AA50" s="2">
        <f t="shared" si="20"/>
        <v>2.88881319233954</v>
      </c>
      <c r="AB50" s="2">
        <f t="shared" si="21"/>
        <v>0.205079109576</v>
      </c>
      <c r="AC50" s="2">
        <f t="shared" si="22"/>
        <v>1.38161281166424</v>
      </c>
      <c r="AD50" s="2">
        <f t="shared" si="23"/>
        <v>0.085621581045</v>
      </c>
      <c r="AE50" s="2">
        <f t="shared" si="24"/>
        <v>0.16023293534333</v>
      </c>
      <c r="AF50" s="2">
        <f t="shared" si="25"/>
        <v>0.117129830784379</v>
      </c>
      <c r="AG50" s="7">
        <f t="shared" si="26"/>
        <v>0.12416639419079</v>
      </c>
      <c r="AH50" s="2">
        <f t="shared" si="27"/>
        <v>32.3251520870628</v>
      </c>
      <c r="AI50" s="2">
        <f t="shared" si="28"/>
        <v>0.381612811664243</v>
      </c>
      <c r="AJ50" s="2">
        <f t="shared" si="29"/>
        <v>0.247279075090439</v>
      </c>
      <c r="AK50" s="2">
        <f t="shared" si="30"/>
        <v>0.141109939859864</v>
      </c>
      <c r="AL50" s="2">
        <f t="shared" si="31"/>
        <v>0.143040312936822</v>
      </c>
      <c r="AM50" s="2">
        <f t="shared" si="32"/>
        <v>3.09466390704192</v>
      </c>
      <c r="AN50" s="2">
        <f t="shared" si="33"/>
        <v>0.124198721021</v>
      </c>
      <c r="AO50" s="2">
        <f t="shared" si="34"/>
        <v>0.382695530912758</v>
      </c>
      <c r="AP50" s="2">
        <f t="shared" si="35"/>
        <v>2.23989230623462</v>
      </c>
      <c r="AQ50" s="2">
        <f t="shared" si="36"/>
        <v>0.120790421316</v>
      </c>
      <c r="AR50" s="2">
        <f t="shared" si="37"/>
        <v>0.36832531132176</v>
      </c>
      <c r="AS50" s="2">
        <f t="shared" si="38"/>
        <v>0.689391809683151</v>
      </c>
      <c r="AT50" s="2">
        <f t="shared" si="39"/>
        <v>0.162363545494774</v>
      </c>
      <c r="AU50" s="2">
        <f t="shared" si="40"/>
        <v>0.351709753324637</v>
      </c>
      <c r="AV50" s="2">
        <f t="shared" si="41"/>
        <v>0.157864255416048</v>
      </c>
      <c r="AW50" s="2">
        <f t="shared" si="42"/>
        <v>0.48853681344809</v>
      </c>
      <c r="AX50" s="2">
        <f t="shared" si="43"/>
        <v>-0.035168840271</v>
      </c>
      <c r="AY50" s="7">
        <f t="shared" si="44"/>
        <v>1.01651211977024</v>
      </c>
      <c r="AZ50" s="2">
        <f t="shared" si="45"/>
        <v>0.113896901334357</v>
      </c>
      <c r="BA50" s="2">
        <f t="shared" si="46"/>
        <v>0.894785846177031</v>
      </c>
      <c r="BB50" s="2">
        <f t="shared" si="47"/>
        <v>0.0612595799380748</v>
      </c>
      <c r="BC50" s="2">
        <f t="shared" si="48"/>
        <v>0.757308812277647</v>
      </c>
      <c r="BD50" s="2">
        <f t="shared" si="49"/>
        <v>0.0829304926460118</v>
      </c>
      <c r="BE50" s="2">
        <f t="shared" si="50"/>
        <v>-0.06513798054816</v>
      </c>
      <c r="BF50" s="2">
        <f t="shared" si="51"/>
        <v>0.321042267495102</v>
      </c>
    </row>
    <row r="51" s="2" customFormat="1" spans="1:58">
      <c r="A51" s="5">
        <v>175</v>
      </c>
      <c r="B51" s="6">
        <v>0.0594930021198</v>
      </c>
      <c r="C51" s="6">
        <v>0.10386511946</v>
      </c>
      <c r="D51" s="6">
        <v>0.103227539936</v>
      </c>
      <c r="E51" s="6">
        <v>0.222387418882</v>
      </c>
      <c r="F51" s="6">
        <v>0.300372664229</v>
      </c>
      <c r="G51" s="2">
        <f t="shared" si="0"/>
        <v>2.89194934536881</v>
      </c>
      <c r="H51" s="2">
        <f t="shared" si="1"/>
        <v>0.196507544769</v>
      </c>
      <c r="I51" s="2">
        <f t="shared" si="2"/>
        <v>0.486118697207639</v>
      </c>
      <c r="J51" s="2">
        <f t="shared" si="3"/>
        <v>-0.484743604567618</v>
      </c>
      <c r="K51" s="2">
        <f t="shared" si="4"/>
        <v>1.89194934536881</v>
      </c>
      <c r="L51" s="2">
        <f t="shared" si="5"/>
        <v>0.959016136962006</v>
      </c>
      <c r="M51" s="2">
        <f t="shared" si="6"/>
        <v>0.325977660379296</v>
      </c>
      <c r="N51" s="2">
        <f t="shared" si="7"/>
        <v>0.302797230644274</v>
      </c>
      <c r="O51" s="2">
        <f t="shared" si="8"/>
        <v>0.403994128932142</v>
      </c>
      <c r="P51" s="2">
        <f t="shared" si="9"/>
        <v>0.30907279345581</v>
      </c>
      <c r="Q51" s="2">
        <f t="shared" si="10"/>
        <v>0.488466364135938</v>
      </c>
      <c r="R51" s="2">
        <f t="shared" si="11"/>
        <v>2.90981131987867</v>
      </c>
      <c r="S51" s="2">
        <f t="shared" si="12"/>
        <v>0.405763416141221</v>
      </c>
      <c r="T51" s="2">
        <f t="shared" si="13"/>
        <v>-0.482384793644476</v>
      </c>
      <c r="U51" s="2">
        <f t="shared" si="14"/>
        <v>0.327266068640132</v>
      </c>
      <c r="V51" s="2">
        <f t="shared" si="15"/>
        <v>0.304080257417222</v>
      </c>
      <c r="W51" s="2">
        <f t="shared" si="16"/>
        <v>0.197145124293</v>
      </c>
      <c r="X51" s="2">
        <f t="shared" si="17"/>
        <v>0.310320418391264</v>
      </c>
      <c r="Y51" s="2">
        <f t="shared" si="18"/>
        <v>0.994216457385382</v>
      </c>
      <c r="Z51" s="2">
        <f t="shared" si="19"/>
        <v>0.705816906903747</v>
      </c>
      <c r="AA51" s="2">
        <f t="shared" si="20"/>
        <v>2.85745792668983</v>
      </c>
      <c r="AB51" s="2">
        <f t="shared" si="21"/>
        <v>0.2018001020825</v>
      </c>
      <c r="AC51" s="2">
        <f t="shared" si="22"/>
        <v>1.35067291908442</v>
      </c>
      <c r="AD51" s="2">
        <f t="shared" si="23"/>
        <v>0.077985245347</v>
      </c>
      <c r="AE51" s="2">
        <f t="shared" si="24"/>
        <v>0.149179801340037</v>
      </c>
      <c r="AF51" s="2">
        <f t="shared" si="25"/>
        <v>0.107860203079354</v>
      </c>
      <c r="AG51" s="7">
        <f t="shared" si="26"/>
        <v>0.114374690557614</v>
      </c>
      <c r="AH51" s="2">
        <f t="shared" si="27"/>
        <v>30.0602926842176</v>
      </c>
      <c r="AI51" s="2">
        <f t="shared" si="28"/>
        <v>0.350672919084417</v>
      </c>
      <c r="AJ51" s="2">
        <f t="shared" si="29"/>
        <v>0.228721044952895</v>
      </c>
      <c r="AK51" s="2">
        <f t="shared" si="30"/>
        <v>0.129457549346834</v>
      </c>
      <c r="AL51" s="2">
        <f t="shared" si="31"/>
        <v>0.13249586031791</v>
      </c>
      <c r="AM51" s="2">
        <f t="shared" si="32"/>
        <v>2.90981131987867</v>
      </c>
      <c r="AN51" s="2">
        <f t="shared" si="33"/>
        <v>0.119159878946</v>
      </c>
      <c r="AO51" s="2">
        <f t="shared" si="34"/>
        <v>0.365953331439553</v>
      </c>
      <c r="AP51" s="2">
        <f t="shared" si="35"/>
        <v>2.15434194227507</v>
      </c>
      <c r="AQ51" s="2">
        <f t="shared" si="36"/>
        <v>0.118522299422</v>
      </c>
      <c r="AR51" s="2">
        <f t="shared" si="37"/>
        <v>0.363283915044231</v>
      </c>
      <c r="AS51" s="2">
        <f t="shared" si="38"/>
        <v>0.654458917185882</v>
      </c>
      <c r="AT51" s="2">
        <f t="shared" si="39"/>
        <v>0.165753179147357</v>
      </c>
      <c r="AU51" s="2">
        <f t="shared" si="40"/>
        <v>0.354897022924644</v>
      </c>
      <c r="AV51" s="2">
        <f t="shared" si="41"/>
        <v>0.164903483927588</v>
      </c>
      <c r="AW51" s="2">
        <f t="shared" si="42"/>
        <v>0.479838024219926</v>
      </c>
      <c r="AX51" s="2">
        <f t="shared" si="43"/>
        <v>-0.040537054075</v>
      </c>
      <c r="AY51" s="7">
        <f t="shared" si="44"/>
        <v>1.00324455493426</v>
      </c>
      <c r="AZ51" s="2">
        <f t="shared" si="45"/>
        <v>0.105061265702719</v>
      </c>
      <c r="BA51" s="2">
        <f t="shared" si="46"/>
        <v>0.906947356053584</v>
      </c>
      <c r="BB51" s="2">
        <f t="shared" si="47"/>
        <v>0.0522490751552955</v>
      </c>
      <c r="BC51" s="2">
        <f t="shared" si="48"/>
        <v>0.730159740074821</v>
      </c>
      <c r="BD51" s="2">
        <f t="shared" si="49"/>
        <v>0.074188587733748</v>
      </c>
      <c r="BE51" s="2">
        <f t="shared" si="50"/>
        <v>-0.07259603379864</v>
      </c>
      <c r="BF51" s="2">
        <f t="shared" si="51"/>
        <v>0.306879373694027</v>
      </c>
    </row>
    <row r="52" s="2" customFormat="1" spans="1:58">
      <c r="A52" s="5">
        <v>170.5</v>
      </c>
      <c r="B52" s="6">
        <v>0.0657890840661</v>
      </c>
      <c r="C52" s="6">
        <v>0.113970334259</v>
      </c>
      <c r="D52" s="6">
        <v>0.115139331785</v>
      </c>
      <c r="E52" s="6">
        <v>0.231318479425</v>
      </c>
      <c r="F52" s="6">
        <v>0.304575417979</v>
      </c>
      <c r="G52" s="2">
        <f t="shared" si="0"/>
        <v>2.67240962272556</v>
      </c>
      <c r="H52" s="2">
        <f t="shared" si="1"/>
        <v>0.19060508372</v>
      </c>
      <c r="I52" s="2">
        <f t="shared" si="2"/>
        <v>0.455398442585591</v>
      </c>
      <c r="J52" s="2">
        <f t="shared" si="3"/>
        <v>-0.514360887148588</v>
      </c>
      <c r="K52" s="2">
        <f t="shared" si="4"/>
        <v>1.67240962272556</v>
      </c>
      <c r="L52" s="2">
        <f t="shared" si="5"/>
        <v>0.872704266950939</v>
      </c>
      <c r="M52" s="2">
        <f t="shared" si="6"/>
        <v>0.311261170043406</v>
      </c>
      <c r="N52" s="2">
        <f t="shared" si="7"/>
        <v>0.288696133866832</v>
      </c>
      <c r="O52" s="2">
        <f t="shared" si="8"/>
        <v>0.382168387305424</v>
      </c>
      <c r="P52" s="2">
        <f t="shared" si="9"/>
        <v>0.294620532677178</v>
      </c>
      <c r="Q52" s="2">
        <f t="shared" si="10"/>
        <v>0.451344839085396</v>
      </c>
      <c r="R52" s="2">
        <f t="shared" si="11"/>
        <v>2.64527692889285</v>
      </c>
      <c r="S52" s="2">
        <f t="shared" si="12"/>
        <v>0.379058597481775</v>
      </c>
      <c r="T52" s="2">
        <f t="shared" si="13"/>
        <v>-0.518103500222722</v>
      </c>
      <c r="U52" s="2">
        <f t="shared" si="14"/>
        <v>0.308958978165691</v>
      </c>
      <c r="V52" s="2">
        <f t="shared" si="15"/>
        <v>0.286435059747678</v>
      </c>
      <c r="W52" s="2">
        <f t="shared" si="16"/>
        <v>0.189436086194</v>
      </c>
      <c r="X52" s="2">
        <f t="shared" si="17"/>
        <v>0.292405540029936</v>
      </c>
      <c r="Y52" s="2">
        <f t="shared" si="18"/>
        <v>0.975369078393096</v>
      </c>
      <c r="Z52" s="2">
        <f t="shared" si="19"/>
        <v>0.626430732891153</v>
      </c>
      <c r="AA52" s="2">
        <f t="shared" si="20"/>
        <v>2.80375277294728</v>
      </c>
      <c r="AB52" s="2">
        <f t="shared" si="21"/>
        <v>0.209857374882</v>
      </c>
      <c r="AC52" s="2">
        <f t="shared" si="22"/>
        <v>1.3166929798955</v>
      </c>
      <c r="AD52" s="2">
        <f t="shared" si="23"/>
        <v>0.073256938554</v>
      </c>
      <c r="AE52" s="2">
        <f t="shared" si="24"/>
        <v>0.136700453035339</v>
      </c>
      <c r="AF52" s="2">
        <f t="shared" si="25"/>
        <v>0.100071258053018</v>
      </c>
      <c r="AG52" s="7">
        <f t="shared" si="26"/>
        <v>0.10607786000707</v>
      </c>
      <c r="AH52" s="2">
        <f t="shared" si="27"/>
        <v>27.5123274775991</v>
      </c>
      <c r="AI52" s="2">
        <f t="shared" si="28"/>
        <v>0.316692979895504</v>
      </c>
      <c r="AJ52" s="2">
        <f t="shared" si="29"/>
        <v>0.208067474211677</v>
      </c>
      <c r="AK52" s="2">
        <f t="shared" si="30"/>
        <v>0.119477705298514</v>
      </c>
      <c r="AL52" s="2">
        <f t="shared" si="31"/>
        <v>0.122113513338235</v>
      </c>
      <c r="AM52" s="2">
        <f t="shared" si="32"/>
        <v>2.64527692889285</v>
      </c>
      <c r="AN52" s="2">
        <f t="shared" si="33"/>
        <v>0.11617914764</v>
      </c>
      <c r="AO52" s="2">
        <f t="shared" si="34"/>
        <v>0.335334184656555</v>
      </c>
      <c r="AP52" s="2">
        <f t="shared" si="35"/>
        <v>2.00903093529274</v>
      </c>
      <c r="AQ52" s="2">
        <f t="shared" si="36"/>
        <v>0.117348145166</v>
      </c>
      <c r="AR52" s="2">
        <f t="shared" si="37"/>
        <v>0.339855044575508</v>
      </c>
      <c r="AS52" s="2">
        <f t="shared" si="38"/>
        <v>0.630551523591811</v>
      </c>
      <c r="AT52" s="2">
        <f t="shared" si="39"/>
        <v>0.175375607251611</v>
      </c>
      <c r="AU52" s="2">
        <f t="shared" si="40"/>
        <v>0.355948932337847</v>
      </c>
      <c r="AV52" s="2">
        <f t="shared" si="41"/>
        <v>0.176856305673415</v>
      </c>
      <c r="AW52" s="2">
        <f t="shared" si="42"/>
        <v>0.467833905127106</v>
      </c>
      <c r="AX52" s="2">
        <f t="shared" si="43"/>
        <v>-0.044091206612</v>
      </c>
      <c r="AY52" s="7">
        <f t="shared" si="44"/>
        <v>0.993866913184135</v>
      </c>
      <c r="AZ52" s="2">
        <f t="shared" si="45"/>
        <v>0.0996579804276414</v>
      </c>
      <c r="BA52" s="2">
        <f t="shared" si="46"/>
        <v>0.978062831688961</v>
      </c>
      <c r="BB52" s="2">
        <f t="shared" si="47"/>
        <v>0.0462632215893843</v>
      </c>
      <c r="BC52" s="2">
        <f t="shared" si="48"/>
        <v>0.736861696208155</v>
      </c>
      <c r="BD52" s="2">
        <f t="shared" si="49"/>
        <v>0.0701133167636884</v>
      </c>
      <c r="BE52" s="2">
        <f t="shared" si="50"/>
        <v>-0.0775731149412</v>
      </c>
      <c r="BF52" s="2">
        <f t="shared" si="51"/>
        <v>0.300177691120772</v>
      </c>
    </row>
    <row r="53" s="2" customFormat="1" spans="1:58">
      <c r="A53" s="5">
        <v>170.5</v>
      </c>
      <c r="B53" s="6">
        <v>0.0737337813811</v>
      </c>
      <c r="C53" s="6">
        <v>0.124624531481</v>
      </c>
      <c r="D53" s="6">
        <v>0.135589940315</v>
      </c>
      <c r="E53" s="6">
        <v>0.239506055664</v>
      </c>
      <c r="F53" s="6">
        <v>0.304801600836</v>
      </c>
      <c r="G53" s="2">
        <f t="shared" si="0"/>
        <v>2.44575925151999</v>
      </c>
      <c r="H53" s="2">
        <f t="shared" si="1"/>
        <v>0.180177069355</v>
      </c>
      <c r="I53" s="2">
        <f t="shared" si="2"/>
        <v>0.419576396952932</v>
      </c>
      <c r="J53" s="2">
        <f t="shared" si="3"/>
        <v>-0.546203127532878</v>
      </c>
      <c r="K53" s="2">
        <f t="shared" si="4"/>
        <v>1.44575925151999</v>
      </c>
      <c r="L53" s="2">
        <f t="shared" si="5"/>
        <v>0.778849444767168</v>
      </c>
      <c r="M53" s="2">
        <f t="shared" si="6"/>
        <v>0.290787610370654</v>
      </c>
      <c r="N53" s="2">
        <f t="shared" si="7"/>
        <v>0.26874985147015</v>
      </c>
      <c r="O53" s="2">
        <f t="shared" si="8"/>
        <v>0.35459133722187</v>
      </c>
      <c r="P53" s="2">
        <f t="shared" si="9"/>
        <v>0.274950987584168</v>
      </c>
      <c r="Q53" s="2">
        <f t="shared" si="10"/>
        <v>0.384230042381721</v>
      </c>
      <c r="R53" s="2">
        <f t="shared" si="11"/>
        <v>2.24796618486512</v>
      </c>
      <c r="S53" s="2">
        <f t="shared" si="12"/>
        <v>0.326929199948528</v>
      </c>
      <c r="T53" s="2">
        <f t="shared" si="13"/>
        <v>-0.575105840072117</v>
      </c>
      <c r="U53" s="2">
        <f t="shared" si="14"/>
        <v>0.269906182344896</v>
      </c>
      <c r="V53" s="2">
        <f t="shared" si="15"/>
        <v>0.248670055546409</v>
      </c>
      <c r="W53" s="2">
        <f t="shared" si="16"/>
        <v>0.169211660521</v>
      </c>
      <c r="X53" s="2">
        <f t="shared" si="17"/>
        <v>0.254982751364607</v>
      </c>
      <c r="Y53" s="2">
        <f t="shared" si="18"/>
        <v>0.940335069207631</v>
      </c>
      <c r="Z53" s="2">
        <f t="shared" si="19"/>
        <v>0.499321908352279</v>
      </c>
      <c r="AA53" s="2">
        <f t="shared" si="20"/>
        <v>2.70617835778092</v>
      </c>
      <c r="AB53" s="2">
        <f t="shared" si="21"/>
        <v>0.2201957705755</v>
      </c>
      <c r="AC53" s="2">
        <f t="shared" si="22"/>
        <v>1.27262586322077</v>
      </c>
      <c r="AD53" s="2">
        <f t="shared" si="23"/>
        <v>0.065295545172</v>
      </c>
      <c r="AE53" s="2">
        <f t="shared" si="24"/>
        <v>0.119960732486959</v>
      </c>
      <c r="AF53" s="2">
        <f t="shared" si="25"/>
        <v>0.0885036803018295</v>
      </c>
      <c r="AG53" s="7">
        <f t="shared" si="26"/>
        <v>0.0937878001261212</v>
      </c>
      <c r="AH53" s="2">
        <f t="shared" si="27"/>
        <v>24.108237474439</v>
      </c>
      <c r="AI53" s="2">
        <f t="shared" si="28"/>
        <v>0.272625863220771</v>
      </c>
      <c r="AJ53" s="2">
        <f t="shared" si="29"/>
        <v>0.180843573971687</v>
      </c>
      <c r="AK53" s="2">
        <f t="shared" si="30"/>
        <v>0.104151636283459</v>
      </c>
      <c r="AL53" s="2">
        <f t="shared" si="31"/>
        <v>0.107542253304356</v>
      </c>
      <c r="AM53" s="2">
        <f t="shared" si="32"/>
        <v>2.24796618486512</v>
      </c>
      <c r="AN53" s="2">
        <f t="shared" si="33"/>
        <v>0.103916115349</v>
      </c>
      <c r="AO53" s="2">
        <f t="shared" si="34"/>
        <v>0.277038721988431</v>
      </c>
      <c r="AP53" s="2">
        <f t="shared" si="35"/>
        <v>1.76639989004777</v>
      </c>
      <c r="AQ53" s="2">
        <f t="shared" si="36"/>
        <v>0.114881524183</v>
      </c>
      <c r="AR53" s="2">
        <f t="shared" si="37"/>
        <v>0.315495397087455</v>
      </c>
      <c r="AS53" s="2">
        <f t="shared" si="38"/>
        <v>0.62834859591033</v>
      </c>
      <c r="AT53" s="2">
        <f t="shared" si="39"/>
        <v>0.186303684768328</v>
      </c>
      <c r="AU53" s="2">
        <f t="shared" si="40"/>
        <v>0.358042354617271</v>
      </c>
      <c r="AV53" s="2">
        <f t="shared" si="41"/>
        <v>0.199427003346055</v>
      </c>
      <c r="AW53" s="2">
        <f t="shared" si="42"/>
        <v>0.448305159870916</v>
      </c>
      <c r="AX53" s="2">
        <f t="shared" si="43"/>
        <v>-0.049585979011</v>
      </c>
      <c r="AY53" s="7">
        <f t="shared" si="44"/>
        <v>0.939140930234607</v>
      </c>
      <c r="AZ53" s="2">
        <f t="shared" si="45"/>
        <v>0.0903292511666197</v>
      </c>
      <c r="BA53" s="2">
        <f t="shared" si="46"/>
        <v>1.06604116952618</v>
      </c>
      <c r="BB53" s="2">
        <f t="shared" si="47"/>
        <v>0.0372371998548882</v>
      </c>
      <c r="BC53" s="2">
        <f t="shared" si="48"/>
        <v>0.732173734681988</v>
      </c>
      <c r="BD53" s="2">
        <f t="shared" si="49"/>
        <v>0.0666807541934654</v>
      </c>
      <c r="BE53" s="2">
        <f t="shared" si="50"/>
        <v>-0.0851895926778</v>
      </c>
      <c r="BF53" s="2">
        <f t="shared" si="51"/>
        <v>0.285909153513266</v>
      </c>
    </row>
    <row r="54" s="2" customFormat="1" spans="1:58">
      <c r="A54" s="5">
        <v>141</v>
      </c>
      <c r="B54" s="6">
        <v>0.0859059692586</v>
      </c>
      <c r="C54" s="6">
        <v>0.142306095038</v>
      </c>
      <c r="D54" s="6">
        <v>0.158809362794</v>
      </c>
      <c r="E54" s="6">
        <v>0.253545312505</v>
      </c>
      <c r="F54" s="6">
        <v>0.309592527401</v>
      </c>
      <c r="G54" s="2">
        <f t="shared" si="0"/>
        <v>2.17553947579216</v>
      </c>
      <c r="H54" s="2">
        <f t="shared" si="1"/>
        <v>0.167286432363</v>
      </c>
      <c r="I54" s="2">
        <f t="shared" si="2"/>
        <v>0.370185754185567</v>
      </c>
      <c r="J54" s="2">
        <f t="shared" si="3"/>
        <v>-0.585961403224329</v>
      </c>
      <c r="K54" s="2">
        <f t="shared" si="4"/>
        <v>1.17553947579216</v>
      </c>
      <c r="L54" s="2">
        <f t="shared" si="5"/>
        <v>0.65967262139718</v>
      </c>
      <c r="M54" s="2">
        <f t="shared" si="6"/>
        <v>0.263609635132737</v>
      </c>
      <c r="N54" s="2">
        <f t="shared" si="7"/>
        <v>0.243141121102508</v>
      </c>
      <c r="O54" s="2">
        <f t="shared" si="8"/>
        <v>0.317131391418396</v>
      </c>
      <c r="P54" s="2">
        <f t="shared" si="9"/>
        <v>0.248851470016373</v>
      </c>
      <c r="Q54" s="2">
        <f t="shared" si="10"/>
        <v>0.321909812413924</v>
      </c>
      <c r="R54" s="2">
        <f t="shared" si="11"/>
        <v>1.94946017006937</v>
      </c>
      <c r="S54" s="2">
        <f t="shared" si="12"/>
        <v>0.278338550015889</v>
      </c>
      <c r="T54" s="2">
        <f t="shared" si="13"/>
        <v>-0.620830629454093</v>
      </c>
      <c r="U54" s="2">
        <f t="shared" si="14"/>
        <v>0.233554631811961</v>
      </c>
      <c r="V54" s="2">
        <f t="shared" si="15"/>
        <v>0.214719657613229</v>
      </c>
      <c r="W54" s="2">
        <f t="shared" si="16"/>
        <v>0.150783164607</v>
      </c>
      <c r="X54" s="2">
        <f t="shared" si="17"/>
        <v>0.220314729951988</v>
      </c>
      <c r="Y54" s="2">
        <f t="shared" si="18"/>
        <v>0.90659241802142</v>
      </c>
      <c r="Z54" s="2">
        <f t="shared" si="19"/>
        <v>0.396230700876246</v>
      </c>
      <c r="AA54" s="2">
        <f t="shared" si="20"/>
        <v>2.60997780255941</v>
      </c>
      <c r="AB54" s="2">
        <f t="shared" si="21"/>
        <v>0.2342009450975</v>
      </c>
      <c r="AC54" s="2">
        <f t="shared" si="22"/>
        <v>1.22105403701713</v>
      </c>
      <c r="AD54" s="2">
        <f t="shared" si="23"/>
        <v>0.056047214896</v>
      </c>
      <c r="AE54" s="2">
        <f t="shared" si="24"/>
        <v>0.099526636152448</v>
      </c>
      <c r="AF54" s="2">
        <f t="shared" si="25"/>
        <v>0.0746872864971828</v>
      </c>
      <c r="AG54" s="7">
        <f t="shared" si="26"/>
        <v>0.0790780077505597</v>
      </c>
      <c r="AH54" s="2">
        <f t="shared" si="27"/>
        <v>19.9714450510569</v>
      </c>
      <c r="AI54" s="2">
        <f t="shared" si="28"/>
        <v>0.22105403701713</v>
      </c>
      <c r="AJ54" s="2">
        <f t="shared" si="29"/>
        <v>0.148326547563926</v>
      </c>
      <c r="AK54" s="2">
        <f t="shared" si="30"/>
        <v>0.0868139800171923</v>
      </c>
      <c r="AL54" s="2">
        <f t="shared" si="31"/>
        <v>0.0899064682990607</v>
      </c>
      <c r="AM54" s="2">
        <f t="shared" si="32"/>
        <v>1.94946017006937</v>
      </c>
      <c r="AN54" s="2">
        <f t="shared" si="33"/>
        <v>0.094735949711</v>
      </c>
      <c r="AO54" s="2">
        <f t="shared" si="34"/>
        <v>0.229743847677504</v>
      </c>
      <c r="AP54" s="2">
        <f t="shared" si="35"/>
        <v>1.59653881889752</v>
      </c>
      <c r="AQ54" s="2">
        <f t="shared" si="36"/>
        <v>0.111239217467</v>
      </c>
      <c r="AR54" s="2">
        <f t="shared" si="37"/>
        <v>0.281012560135754</v>
      </c>
      <c r="AS54" s="2">
        <f t="shared" si="38"/>
        <v>0.591615063415491</v>
      </c>
      <c r="AT54" s="2">
        <f t="shared" si="39"/>
        <v>0.201725591487716</v>
      </c>
      <c r="AU54" s="2">
        <f t="shared" si="40"/>
        <v>0.359412420953236</v>
      </c>
      <c r="AV54" s="2">
        <f t="shared" si="41"/>
        <v>0.219973652089891</v>
      </c>
      <c r="AW54" s="2">
        <f t="shared" si="42"/>
        <v>0.428829873213941</v>
      </c>
      <c r="AX54" s="2">
        <f t="shared" si="43"/>
        <v>-0.055192002571</v>
      </c>
      <c r="AY54" s="7">
        <f t="shared" si="44"/>
        <v>0.901347243031706</v>
      </c>
      <c r="AZ54" s="2">
        <f t="shared" si="45"/>
        <v>0.0794514203289274</v>
      </c>
      <c r="BA54" s="2">
        <f t="shared" si="46"/>
        <v>1.22308090899321</v>
      </c>
      <c r="BB54" s="2">
        <f t="shared" si="47"/>
        <v>0.0275835232973206</v>
      </c>
      <c r="BC54" s="2">
        <f t="shared" si="48"/>
        <v>0.736969341652394</v>
      </c>
      <c r="BD54" s="2">
        <f t="shared" si="49"/>
        <v>0.0576730095734425</v>
      </c>
      <c r="BE54" s="2">
        <f t="shared" si="50"/>
        <v>-0.09282518979828</v>
      </c>
      <c r="BF54" s="2">
        <f t="shared" si="51"/>
        <v>0.268855932534231</v>
      </c>
    </row>
    <row r="55" s="2" customFormat="1" spans="1:58">
      <c r="A55" s="5">
        <v>174.5</v>
      </c>
      <c r="B55" s="6">
        <v>0.076253807414</v>
      </c>
      <c r="C55" s="6">
        <v>0.128059564839</v>
      </c>
      <c r="D55" s="6">
        <v>0.137541835991</v>
      </c>
      <c r="E55" s="6">
        <v>0.242999746675</v>
      </c>
      <c r="F55" s="6">
        <v>0.307636125699</v>
      </c>
      <c r="G55" s="2">
        <f t="shared" si="0"/>
        <v>2.40228932595366</v>
      </c>
      <c r="H55" s="2">
        <f t="shared" si="1"/>
        <v>0.17957656086</v>
      </c>
      <c r="I55" s="2">
        <f t="shared" si="2"/>
        <v>0.412160516525324</v>
      </c>
      <c r="J55" s="2">
        <f t="shared" si="3"/>
        <v>-0.55246390410797</v>
      </c>
      <c r="K55" s="2">
        <f t="shared" si="4"/>
        <v>1.40228932595366</v>
      </c>
      <c r="L55" s="2">
        <f t="shared" si="5"/>
        <v>0.760242259350931</v>
      </c>
      <c r="M55" s="2">
        <f t="shared" si="6"/>
        <v>0.287876543639014</v>
      </c>
      <c r="N55" s="2">
        <f t="shared" si="7"/>
        <v>0.266227786444708</v>
      </c>
      <c r="O55" s="2">
        <f t="shared" si="8"/>
        <v>0.349689974103165</v>
      </c>
      <c r="P55" s="2">
        <f t="shared" si="9"/>
        <v>0.272055817948999</v>
      </c>
      <c r="Q55" s="2">
        <f t="shared" si="10"/>
        <v>0.382081559164075</v>
      </c>
      <c r="R55" s="2">
        <f t="shared" si="11"/>
        <v>2.23667310736735</v>
      </c>
      <c r="S55" s="2">
        <f t="shared" si="12"/>
        <v>0.326035296312312</v>
      </c>
      <c r="T55" s="2">
        <f t="shared" si="13"/>
        <v>-0.57678869546288</v>
      </c>
      <c r="U55" s="2">
        <f t="shared" si="14"/>
        <v>0.269940101127412</v>
      </c>
      <c r="V55" s="2">
        <f t="shared" si="15"/>
        <v>0.248988175628393</v>
      </c>
      <c r="W55" s="2">
        <f t="shared" si="16"/>
        <v>0.170094289708</v>
      </c>
      <c r="X55" s="2">
        <f t="shared" si="17"/>
        <v>0.254931150345615</v>
      </c>
      <c r="Y55" s="2">
        <f t="shared" si="18"/>
        <v>0.939191971411636</v>
      </c>
      <c r="Z55" s="2">
        <f t="shared" si="19"/>
        <v>0.495551104899912</v>
      </c>
      <c r="AA55" s="2">
        <f t="shared" si="20"/>
        <v>2.70147227351687</v>
      </c>
      <c r="AB55" s="2">
        <f t="shared" si="21"/>
        <v>0.222588980845</v>
      </c>
      <c r="AC55" s="2">
        <f t="shared" si="22"/>
        <v>1.26599360661247</v>
      </c>
      <c r="AD55" s="2">
        <f t="shared" si="23"/>
        <v>0.064636379024</v>
      </c>
      <c r="AE55" s="2">
        <f t="shared" si="24"/>
        <v>0.11738497665495</v>
      </c>
      <c r="AF55" s="2">
        <f t="shared" si="25"/>
        <v>0.0871053376251579</v>
      </c>
      <c r="AG55" s="7">
        <f t="shared" si="26"/>
        <v>0.0922817991326748</v>
      </c>
      <c r="AH55" s="2">
        <f t="shared" si="27"/>
        <v>23.5857273640095</v>
      </c>
      <c r="AI55" s="2">
        <f t="shared" si="28"/>
        <v>0.265993606612471</v>
      </c>
      <c r="AJ55" s="2">
        <f t="shared" si="29"/>
        <v>0.176702159869569</v>
      </c>
      <c r="AK55" s="2">
        <f t="shared" si="30"/>
        <v>0.102578109589694</v>
      </c>
      <c r="AL55" s="2">
        <f t="shared" si="31"/>
        <v>0.105508605155778</v>
      </c>
      <c r="AM55" s="2">
        <f t="shared" si="32"/>
        <v>2.23667310736735</v>
      </c>
      <c r="AN55" s="2">
        <f t="shared" si="33"/>
        <v>0.105457910684</v>
      </c>
      <c r="AO55" s="2">
        <f t="shared" si="34"/>
        <v>0.277125852962461</v>
      </c>
      <c r="AP55" s="2">
        <f t="shared" si="35"/>
        <v>1.76673333552782</v>
      </c>
      <c r="AQ55" s="2">
        <f t="shared" si="36"/>
        <v>0.114940181836</v>
      </c>
      <c r="AR55" s="2">
        <f t="shared" si="37"/>
        <v>0.309762289395245</v>
      </c>
      <c r="AS55" s="2">
        <f t="shared" si="38"/>
        <v>0.612911621373574</v>
      </c>
      <c r="AT55" s="2">
        <f t="shared" si="39"/>
        <v>0.188684876628705</v>
      </c>
      <c r="AU55" s="2">
        <f t="shared" si="40"/>
        <v>0.358039458277274</v>
      </c>
      <c r="AV55" s="2">
        <f t="shared" si="41"/>
        <v>0.199863835051817</v>
      </c>
      <c r="AW55" s="2">
        <f t="shared" si="42"/>
        <v>0.447030064995703</v>
      </c>
      <c r="AX55" s="2">
        <f t="shared" si="43"/>
        <v>-0.050303802812</v>
      </c>
      <c r="AY55" s="7">
        <f t="shared" si="44"/>
        <v>0.947196498771393</v>
      </c>
      <c r="AZ55" s="2">
        <f t="shared" si="45"/>
        <v>0.0895147537240272</v>
      </c>
      <c r="BA55" s="2">
        <f t="shared" si="46"/>
        <v>1.08909091471612</v>
      </c>
      <c r="BB55" s="2">
        <f t="shared" si="47"/>
        <v>0.0363606870097214</v>
      </c>
      <c r="BC55" s="2">
        <f t="shared" si="48"/>
        <v>0.738261935166694</v>
      </c>
      <c r="BD55" s="2">
        <f t="shared" si="49"/>
        <v>0.0647061670970296</v>
      </c>
      <c r="BE55" s="2">
        <f t="shared" si="50"/>
        <v>-0.0862302978695999</v>
      </c>
      <c r="BF55" s="2">
        <f t="shared" si="51"/>
        <v>0.284804031314187</v>
      </c>
    </row>
    <row r="56" s="2" customFormat="1" spans="1:58">
      <c r="A56" s="5">
        <v>211.5</v>
      </c>
      <c r="B56" s="6">
        <v>0.0326490647729</v>
      </c>
      <c r="C56" s="6">
        <v>0.0612703692807</v>
      </c>
      <c r="D56" s="6">
        <v>0.0485661572502</v>
      </c>
      <c r="E56" s="6">
        <v>0.186415591943</v>
      </c>
      <c r="F56" s="6">
        <v>0.303040384232</v>
      </c>
      <c r="G56" s="2">
        <f t="shared" si="0"/>
        <v>4.94595328524414</v>
      </c>
      <c r="H56" s="2">
        <f t="shared" si="1"/>
        <v>0.2417700149513</v>
      </c>
      <c r="I56" s="2">
        <f t="shared" si="2"/>
        <v>0.66363677882177</v>
      </c>
      <c r="J56" s="2">
        <f t="shared" si="3"/>
        <v>-0.255087501714912</v>
      </c>
      <c r="K56" s="2">
        <f t="shared" si="4"/>
        <v>3.94595328524414</v>
      </c>
      <c r="L56" s="2">
        <f t="shared" si="5"/>
        <v>1.6182335207258</v>
      </c>
      <c r="M56" s="2">
        <f t="shared" si="6"/>
        <v>0.419588696487994</v>
      </c>
      <c r="N56" s="2">
        <f t="shared" si="7"/>
        <v>0.401376558620484</v>
      </c>
      <c r="O56" s="2">
        <f t="shared" si="8"/>
        <v>0.534898846656432</v>
      </c>
      <c r="P56" s="2">
        <f t="shared" si="9"/>
        <v>0.400558951888448</v>
      </c>
      <c r="Q56" s="2">
        <f t="shared" si="10"/>
        <v>0.723747134820251</v>
      </c>
      <c r="R56" s="2">
        <f t="shared" si="11"/>
        <v>6.23974391613518</v>
      </c>
      <c r="S56" s="2">
        <f t="shared" si="12"/>
        <v>0.57698656949084</v>
      </c>
      <c r="T56" s="2">
        <f t="shared" si="13"/>
        <v>-0.143661450588585</v>
      </c>
      <c r="U56" s="2">
        <f t="shared" si="14"/>
        <v>0.448224998140973</v>
      </c>
      <c r="V56" s="2">
        <f t="shared" si="15"/>
        <v>0.434359757206551</v>
      </c>
      <c r="W56" s="2">
        <f t="shared" si="16"/>
        <v>0.2544742269818</v>
      </c>
      <c r="X56" s="2">
        <f t="shared" si="17"/>
        <v>0.429156140191045</v>
      </c>
      <c r="Y56" s="2">
        <f t="shared" si="18"/>
        <v>1.10623104947396</v>
      </c>
      <c r="Z56" s="2">
        <f t="shared" si="19"/>
        <v>1.49794794103784</v>
      </c>
      <c r="AA56" s="2">
        <f t="shared" si="20"/>
        <v>3.17542319101886</v>
      </c>
      <c r="AB56" s="2">
        <f t="shared" si="21"/>
        <v>0.1758032707411</v>
      </c>
      <c r="AC56" s="2">
        <f t="shared" si="22"/>
        <v>1.62561715505353</v>
      </c>
      <c r="AD56" s="2">
        <f t="shared" si="23"/>
        <v>0.116624792289</v>
      </c>
      <c r="AE56" s="2">
        <f t="shared" si="24"/>
        <v>0.238274324895161</v>
      </c>
      <c r="AF56" s="2">
        <f t="shared" si="25"/>
        <v>0.166699411062846</v>
      </c>
      <c r="AG56" s="7">
        <f t="shared" si="26"/>
        <v>0.176801386464677</v>
      </c>
      <c r="AH56" s="2">
        <f t="shared" si="27"/>
        <v>48.5887531405849</v>
      </c>
      <c r="AI56" s="2">
        <f t="shared" si="28"/>
        <v>0.625617155053533</v>
      </c>
      <c r="AJ56" s="2">
        <f t="shared" si="29"/>
        <v>0.386093907311695</v>
      </c>
      <c r="AK56" s="2">
        <f t="shared" si="30"/>
        <v>0.205420202772311</v>
      </c>
      <c r="AL56" s="2">
        <f t="shared" si="31"/>
        <v>0.208304741226658</v>
      </c>
      <c r="AM56" s="2">
        <f t="shared" si="32"/>
        <v>6.23974391613518</v>
      </c>
      <c r="AN56" s="2">
        <f t="shared" si="33"/>
        <v>0.1378494346928</v>
      </c>
      <c r="AO56" s="2">
        <f t="shared" si="34"/>
        <v>0.586638899259625</v>
      </c>
      <c r="AP56" s="2">
        <f t="shared" si="35"/>
        <v>3.83838463855883</v>
      </c>
      <c r="AQ56" s="2">
        <f t="shared" si="36"/>
        <v>0.1251452226623</v>
      </c>
      <c r="AR56" s="2">
        <f t="shared" si="37"/>
        <v>0.505257633674578</v>
      </c>
      <c r="AS56" s="2">
        <f t="shared" si="38"/>
        <v>0.846030254305362</v>
      </c>
      <c r="AT56" s="2">
        <f t="shared" si="39"/>
        <v>0.111253746595329</v>
      </c>
      <c r="AU56" s="2">
        <f t="shared" si="40"/>
        <v>0.338490419935785</v>
      </c>
      <c r="AV56" s="2">
        <f t="shared" si="41"/>
        <v>0.0902679541100181</v>
      </c>
      <c r="AW56" s="2">
        <f t="shared" si="42"/>
        <v>0.563248917479955</v>
      </c>
      <c r="AX56" s="2">
        <f t="shared" si="43"/>
        <v>-0.00852043037329998</v>
      </c>
      <c r="AY56" s="7">
        <f t="shared" si="44"/>
        <v>1.05254668174239</v>
      </c>
      <c r="AZ56" s="2">
        <f t="shared" si="45"/>
        <v>0.148604008352635</v>
      </c>
      <c r="BA56" s="2">
        <f t="shared" si="46"/>
        <v>0.651827742030889</v>
      </c>
      <c r="BB56" s="2">
        <f t="shared" si="47"/>
        <v>0.110982166273077</v>
      </c>
      <c r="BC56" s="2">
        <f t="shared" si="48"/>
        <v>0.759318961201407</v>
      </c>
      <c r="BD56" s="2">
        <f t="shared" si="49"/>
        <v>0.10166777552664</v>
      </c>
      <c r="BE56" s="2">
        <f t="shared" si="50"/>
        <v>-0.027286846457028</v>
      </c>
      <c r="BF56" s="2">
        <f t="shared" si="51"/>
        <v>0.359043278641362</v>
      </c>
    </row>
    <row r="57" s="2" customFormat="1" spans="1:58">
      <c r="A57" s="5">
        <v>203</v>
      </c>
      <c r="B57" s="6">
        <v>0.0440171082645</v>
      </c>
      <c r="C57" s="6">
        <v>0.0796829245266</v>
      </c>
      <c r="D57" s="6">
        <v>0.0717660459755</v>
      </c>
      <c r="E57" s="6">
        <v>0.205307685219</v>
      </c>
      <c r="F57" s="6">
        <v>0.315596018894</v>
      </c>
      <c r="G57" s="2">
        <f t="shared" si="0"/>
        <v>3.96064804058047</v>
      </c>
      <c r="H57" s="2">
        <f t="shared" si="1"/>
        <v>0.2359130943674</v>
      </c>
      <c r="I57" s="2">
        <f t="shared" si="2"/>
        <v>0.596826869465634</v>
      </c>
      <c r="J57" s="2">
        <f t="shared" si="3"/>
        <v>-0.355676908867872</v>
      </c>
      <c r="K57" s="2">
        <f t="shared" si="4"/>
        <v>2.96064804058047</v>
      </c>
      <c r="L57" s="2">
        <f t="shared" si="5"/>
        <v>1.32928337898629</v>
      </c>
      <c r="M57" s="2">
        <f t="shared" si="6"/>
        <v>0.395261883630444</v>
      </c>
      <c r="N57" s="2">
        <f t="shared" si="7"/>
        <v>0.375856690085509</v>
      </c>
      <c r="O57" s="2">
        <f t="shared" si="8"/>
        <v>0.492831922961824</v>
      </c>
      <c r="P57" s="2">
        <f t="shared" si="9"/>
        <v>0.375232292823054</v>
      </c>
      <c r="Q57" s="2">
        <f t="shared" si="10"/>
        <v>0.629462704358117</v>
      </c>
      <c r="R57" s="2">
        <f t="shared" si="11"/>
        <v>4.39756732594325</v>
      </c>
      <c r="S57" s="2">
        <f t="shared" si="12"/>
        <v>0.516737981564167</v>
      </c>
      <c r="T57" s="2">
        <f t="shared" si="13"/>
        <v>-0.309150633778783</v>
      </c>
      <c r="U57" s="2">
        <f t="shared" si="14"/>
        <v>0.412171056052005</v>
      </c>
      <c r="V57" s="2">
        <f t="shared" si="15"/>
        <v>0.394244716298717</v>
      </c>
      <c r="W57" s="2">
        <f t="shared" si="16"/>
        <v>0.2438299729185</v>
      </c>
      <c r="X57" s="2">
        <f t="shared" si="17"/>
        <v>0.391767627755083</v>
      </c>
      <c r="Y57" s="2">
        <f t="shared" si="18"/>
        <v>1.0627618286136</v>
      </c>
      <c r="Z57" s="2">
        <f t="shared" si="19"/>
        <v>1.09703775024277</v>
      </c>
      <c r="AA57" s="2">
        <f t="shared" si="20"/>
        <v>3.05581637719368</v>
      </c>
      <c r="AB57" s="2">
        <f t="shared" si="21"/>
        <v>0.19368103243475</v>
      </c>
      <c r="AC57" s="2">
        <f t="shared" si="22"/>
        <v>1.5371856078225</v>
      </c>
      <c r="AD57" s="2">
        <f t="shared" si="23"/>
        <v>0.110288333675</v>
      </c>
      <c r="AE57" s="2">
        <f t="shared" si="24"/>
        <v>0.211724994090415</v>
      </c>
      <c r="AF57" s="2">
        <f t="shared" si="25"/>
        <v>0.152809675071905</v>
      </c>
      <c r="AG57" s="7">
        <f t="shared" si="26"/>
        <v>0.162045156507914</v>
      </c>
      <c r="AH57" s="2">
        <f t="shared" si="27"/>
        <v>42.9953217072025</v>
      </c>
      <c r="AI57" s="2">
        <f t="shared" si="28"/>
        <v>0.537185607822505</v>
      </c>
      <c r="AJ57" s="2">
        <f t="shared" si="29"/>
        <v>0.337247119545409</v>
      </c>
      <c r="AK57" s="2">
        <f t="shared" si="30"/>
        <v>0.186431792682989</v>
      </c>
      <c r="AL57" s="2">
        <f t="shared" si="31"/>
        <v>0.187889221765444</v>
      </c>
      <c r="AM57" s="2">
        <f t="shared" si="32"/>
        <v>4.39756732594325</v>
      </c>
      <c r="AN57" s="2">
        <f t="shared" si="33"/>
        <v>0.1335416392435</v>
      </c>
      <c r="AO57" s="2">
        <f t="shared" si="34"/>
        <v>0.481971490649023</v>
      </c>
      <c r="AP57" s="2">
        <f t="shared" si="35"/>
        <v>2.86079137325037</v>
      </c>
      <c r="AQ57" s="2">
        <f t="shared" si="36"/>
        <v>0.1256247606924</v>
      </c>
      <c r="AR57" s="2">
        <f t="shared" si="37"/>
        <v>0.440803157705934</v>
      </c>
      <c r="AS57" s="2">
        <f t="shared" si="38"/>
        <v>0.825872247036747</v>
      </c>
      <c r="AT57" s="2">
        <f t="shared" si="39"/>
        <v>0.13267515580074</v>
      </c>
      <c r="AU57" s="2">
        <f t="shared" si="40"/>
        <v>0.341845248343351</v>
      </c>
      <c r="AV57" s="2">
        <f t="shared" si="41"/>
        <v>0.121089436342556</v>
      </c>
      <c r="AW57" s="2">
        <f t="shared" si="42"/>
        <v>0.53249894877691</v>
      </c>
      <c r="AX57" s="2">
        <f t="shared" si="43"/>
        <v>-0.0153364270174</v>
      </c>
      <c r="AY57" s="7">
        <f t="shared" si="44"/>
        <v>1.03355845326148</v>
      </c>
      <c r="AZ57" s="2">
        <f t="shared" si="45"/>
        <v>0.14140833842863</v>
      </c>
      <c r="BA57" s="2">
        <f t="shared" si="46"/>
        <v>0.7458532459446</v>
      </c>
      <c r="BB57" s="2">
        <f t="shared" si="47"/>
        <v>0.0970051965642482</v>
      </c>
      <c r="BC57" s="2">
        <f t="shared" si="48"/>
        <v>0.78543361103446</v>
      </c>
      <c r="BD57" s="2">
        <f t="shared" si="49"/>
        <v>0.105977845949358</v>
      </c>
      <c r="BE57" s="2">
        <f t="shared" si="50"/>
        <v>-0.037159426188144</v>
      </c>
      <c r="BF57" s="2">
        <f t="shared" si="51"/>
        <v>0.354751109446499</v>
      </c>
    </row>
    <row r="58" s="2" customFormat="1" spans="1:58">
      <c r="A58" s="5">
        <v>210</v>
      </c>
      <c r="B58" s="6">
        <v>0.0457918061415</v>
      </c>
      <c r="C58" s="6">
        <v>0.0814694681139</v>
      </c>
      <c r="D58" s="6">
        <v>0.0718125839418</v>
      </c>
      <c r="E58" s="6">
        <v>0.208514543126</v>
      </c>
      <c r="F58" s="6">
        <v>0.317553240336</v>
      </c>
      <c r="G58" s="2">
        <f t="shared" si="0"/>
        <v>3.89781899511162</v>
      </c>
      <c r="H58" s="2">
        <f t="shared" si="1"/>
        <v>0.2360837722221</v>
      </c>
      <c r="I58" s="2">
        <f t="shared" si="2"/>
        <v>0.591654979084334</v>
      </c>
      <c r="J58" s="2">
        <f t="shared" si="3"/>
        <v>-0.362640756906151</v>
      </c>
      <c r="K58" s="2">
        <f t="shared" si="4"/>
        <v>2.89781899511162</v>
      </c>
      <c r="L58" s="2">
        <f t="shared" si="5"/>
        <v>1.30939262138709</v>
      </c>
      <c r="M58" s="2">
        <f t="shared" si="6"/>
        <v>0.393900682379576</v>
      </c>
      <c r="N58" s="2">
        <f t="shared" si="7"/>
        <v>0.374579475492422</v>
      </c>
      <c r="O58" s="2">
        <f t="shared" si="8"/>
        <v>0.489885601493735</v>
      </c>
      <c r="P58" s="2">
        <f t="shared" si="9"/>
        <v>0.373738062439748</v>
      </c>
      <c r="Q58" s="2">
        <f t="shared" si="10"/>
        <v>0.631130523203988</v>
      </c>
      <c r="R58" s="2">
        <f t="shared" si="11"/>
        <v>4.42197206820129</v>
      </c>
      <c r="S58" s="2">
        <f t="shared" si="12"/>
        <v>0.518887686164338</v>
      </c>
      <c r="T58" s="2">
        <f t="shared" si="13"/>
        <v>-0.306645834184532</v>
      </c>
      <c r="U58" s="2">
        <f t="shared" si="14"/>
        <v>0.414464975524134</v>
      </c>
      <c r="V58" s="2">
        <f t="shared" si="15"/>
        <v>0.396944172441009</v>
      </c>
      <c r="W58" s="2">
        <f t="shared" si="16"/>
        <v>0.2457406563942</v>
      </c>
      <c r="X58" s="2">
        <f t="shared" si="17"/>
        <v>0.393820300444965</v>
      </c>
      <c r="Y58" s="2">
        <f t="shared" si="18"/>
        <v>1.06354620172515</v>
      </c>
      <c r="Z58" s="2">
        <f t="shared" si="19"/>
        <v>1.10284856045348</v>
      </c>
      <c r="AA58" s="2">
        <f t="shared" si="20"/>
        <v>3.05898733907781</v>
      </c>
      <c r="AB58" s="2">
        <f t="shared" si="21"/>
        <v>0.1946829121389</v>
      </c>
      <c r="AC58" s="2">
        <f t="shared" si="22"/>
        <v>1.5229308976502</v>
      </c>
      <c r="AD58" s="2">
        <f t="shared" si="23"/>
        <v>0.10903869721</v>
      </c>
      <c r="AE58" s="2">
        <f t="shared" si="24"/>
        <v>0.207271193252754</v>
      </c>
      <c r="AF58" s="2">
        <f t="shared" si="25"/>
        <v>0.150334895754254</v>
      </c>
      <c r="AG58" s="7">
        <f t="shared" si="26"/>
        <v>0.159402768950749</v>
      </c>
      <c r="AH58" s="2">
        <f t="shared" si="27"/>
        <v>42.0636700362451</v>
      </c>
      <c r="AI58" s="2">
        <f t="shared" si="28"/>
        <v>0.522930897650197</v>
      </c>
      <c r="AJ58" s="2">
        <f t="shared" si="29"/>
        <v>0.329224104744306</v>
      </c>
      <c r="AK58" s="2">
        <f t="shared" si="30"/>
        <v>0.183904127357059</v>
      </c>
      <c r="AL58" s="2">
        <f t="shared" si="31"/>
        <v>0.184362087555458</v>
      </c>
      <c r="AM58" s="2">
        <f t="shared" si="32"/>
        <v>4.42197206820129</v>
      </c>
      <c r="AN58" s="2">
        <f t="shared" si="33"/>
        <v>0.1367019591842</v>
      </c>
      <c r="AO58" s="2">
        <f t="shared" si="34"/>
        <v>0.487651554147085</v>
      </c>
      <c r="AP58" s="2">
        <f t="shared" si="35"/>
        <v>2.90359337710211</v>
      </c>
      <c r="AQ58" s="2">
        <f t="shared" si="36"/>
        <v>0.1270450750121</v>
      </c>
      <c r="AR58" s="2">
        <f t="shared" si="37"/>
        <v>0.438110620198978</v>
      </c>
      <c r="AS58" s="2">
        <f t="shared" si="38"/>
        <v>0.797638145500717</v>
      </c>
      <c r="AT58" s="2">
        <f t="shared" si="39"/>
        <v>0.134097897540563</v>
      </c>
      <c r="AU58" s="2">
        <f t="shared" si="40"/>
        <v>0.343212770221301</v>
      </c>
      <c r="AV58" s="2">
        <f t="shared" si="41"/>
        <v>0.12011196195258</v>
      </c>
      <c r="AW58" s="2">
        <f t="shared" si="42"/>
        <v>0.531131740811166</v>
      </c>
      <c r="AX58" s="2">
        <f t="shared" si="43"/>
        <v>-0.0180063778021</v>
      </c>
      <c r="AY58" s="7">
        <f t="shared" si="44"/>
        <v>1.04090448098658</v>
      </c>
      <c r="AZ58" s="2">
        <f t="shared" si="45"/>
        <v>0.13924909547687</v>
      </c>
      <c r="BA58" s="2">
        <f t="shared" si="46"/>
        <v>0.748983826290143</v>
      </c>
      <c r="BB58" s="2">
        <f t="shared" si="47"/>
        <v>0.0941505467904639</v>
      </c>
      <c r="BC58" s="2">
        <f t="shared" si="48"/>
        <v>0.789310115832565</v>
      </c>
      <c r="BD58" s="2">
        <f t="shared" si="49"/>
        <v>0.102568468571059</v>
      </c>
      <c r="BE58" s="2">
        <f t="shared" si="50"/>
        <v>-0.0411745930364759</v>
      </c>
      <c r="BF58" s="2">
        <f t="shared" si="51"/>
        <v>0.35032442991274</v>
      </c>
    </row>
    <row r="59" s="2" customFormat="1" spans="1:58">
      <c r="A59" s="5">
        <v>180</v>
      </c>
      <c r="B59" s="6">
        <v>0.0522452981367</v>
      </c>
      <c r="C59" s="6">
        <v>0.0928138480179</v>
      </c>
      <c r="D59" s="6">
        <v>0.0894660569186</v>
      </c>
      <c r="E59" s="6">
        <v>0.212784949284</v>
      </c>
      <c r="F59" s="6">
        <v>0.295513312816</v>
      </c>
      <c r="G59" s="2">
        <f t="shared" si="0"/>
        <v>3.18393557779231</v>
      </c>
      <c r="H59" s="2">
        <f t="shared" si="1"/>
        <v>0.2026994647981</v>
      </c>
      <c r="I59" s="2">
        <f t="shared" si="2"/>
        <v>0.521981167536208</v>
      </c>
      <c r="J59" s="2">
        <f t="shared" si="3"/>
        <v>-0.447102329143911</v>
      </c>
      <c r="K59" s="2">
        <f t="shared" si="4"/>
        <v>2.18393557779231</v>
      </c>
      <c r="L59" s="2">
        <f t="shared" si="5"/>
        <v>1.06769529488515</v>
      </c>
      <c r="M59" s="2">
        <f t="shared" si="6"/>
        <v>0.342271643379371</v>
      </c>
      <c r="N59" s="2">
        <f t="shared" si="7"/>
        <v>0.318603990961953</v>
      </c>
      <c r="O59" s="2">
        <f t="shared" si="8"/>
        <v>0.428815852944812</v>
      </c>
      <c r="P59" s="2">
        <f t="shared" si="9"/>
        <v>0.325277271407451</v>
      </c>
      <c r="Q59" s="2">
        <f t="shared" si="10"/>
        <v>0.535216357280252</v>
      </c>
      <c r="R59" s="2">
        <f t="shared" si="11"/>
        <v>3.30307742393152</v>
      </c>
      <c r="S59" s="2">
        <f t="shared" si="12"/>
        <v>0.438575898675544</v>
      </c>
      <c r="T59" s="2">
        <f t="shared" si="13"/>
        <v>-0.432285866693157</v>
      </c>
      <c r="U59" s="2">
        <f t="shared" si="14"/>
        <v>0.349240778278016</v>
      </c>
      <c r="V59" s="2">
        <f t="shared" si="15"/>
        <v>0.32567619308972</v>
      </c>
      <c r="W59" s="2">
        <f t="shared" si="16"/>
        <v>0.2060472558974</v>
      </c>
      <c r="X59" s="2">
        <f t="shared" si="17"/>
        <v>0.33208411845344</v>
      </c>
      <c r="Y59" s="2">
        <f t="shared" si="18"/>
        <v>1.01745582571444</v>
      </c>
      <c r="Z59" s="2">
        <f t="shared" si="19"/>
        <v>0.817437048134411</v>
      </c>
      <c r="AA59" s="2">
        <f t="shared" si="20"/>
        <v>2.92256714014642</v>
      </c>
      <c r="AB59" s="2">
        <f t="shared" si="21"/>
        <v>0.1924896848673</v>
      </c>
      <c r="AC59" s="2">
        <f t="shared" si="22"/>
        <v>1.38878860469395</v>
      </c>
      <c r="AD59" s="2">
        <f t="shared" si="23"/>
        <v>0.082728363532</v>
      </c>
      <c r="AE59" s="2">
        <f t="shared" si="24"/>
        <v>0.162755550629297</v>
      </c>
      <c r="AF59" s="2">
        <f t="shared" si="25"/>
        <v>0.116036633695188</v>
      </c>
      <c r="AG59" s="7">
        <f t="shared" si="26"/>
        <v>0.123071267661962</v>
      </c>
      <c r="AH59" s="2">
        <f t="shared" si="27"/>
        <v>32.8431859744803</v>
      </c>
      <c r="AI59" s="2">
        <f t="shared" si="28"/>
        <v>0.388788604693953</v>
      </c>
      <c r="AJ59" s="2">
        <f t="shared" si="29"/>
        <v>0.251550200626754</v>
      </c>
      <c r="AK59" s="2">
        <f t="shared" si="30"/>
        <v>0.140220834001153</v>
      </c>
      <c r="AL59" s="2">
        <f t="shared" si="31"/>
        <v>0.143595916882334</v>
      </c>
      <c r="AM59" s="2">
        <f t="shared" si="32"/>
        <v>3.30307742393152</v>
      </c>
      <c r="AN59" s="2">
        <f t="shared" si="33"/>
        <v>0.1233188923654</v>
      </c>
      <c r="AO59" s="2">
        <f t="shared" si="34"/>
        <v>0.408001594154293</v>
      </c>
      <c r="AP59" s="2">
        <f t="shared" si="35"/>
        <v>2.37838747579544</v>
      </c>
      <c r="AQ59" s="2">
        <f t="shared" si="36"/>
        <v>0.1199711012661</v>
      </c>
      <c r="AR59" s="2">
        <f t="shared" si="37"/>
        <v>0.392577138147507</v>
      </c>
      <c r="AS59" s="2">
        <f t="shared" si="38"/>
        <v>0.67084906412289</v>
      </c>
      <c r="AT59" s="2">
        <f t="shared" si="39"/>
        <v>0.154403557099683</v>
      </c>
      <c r="AU59" s="2">
        <f t="shared" si="40"/>
        <v>0.353985464112951</v>
      </c>
      <c r="AV59" s="2">
        <f t="shared" si="41"/>
        <v>0.149667777202701</v>
      </c>
      <c r="AW59" s="2">
        <f t="shared" si="42"/>
        <v>0.494364255968254</v>
      </c>
      <c r="AX59" s="2">
        <f t="shared" si="43"/>
        <v>-0.0372427377341</v>
      </c>
      <c r="AY59" s="7">
        <f t="shared" si="44"/>
        <v>1.01651603324476</v>
      </c>
      <c r="AZ59" s="2">
        <f t="shared" si="45"/>
        <v>0.110238685537618</v>
      </c>
      <c r="BA59" s="2">
        <f t="shared" si="46"/>
        <v>0.831671952112319</v>
      </c>
      <c r="BB59" s="2">
        <f t="shared" si="47"/>
        <v>0.0585908671803876</v>
      </c>
      <c r="BC59" s="2">
        <f t="shared" si="48"/>
        <v>0.721842541766946</v>
      </c>
      <c r="BD59" s="2">
        <f t="shared" si="49"/>
        <v>0.0764914419847392</v>
      </c>
      <c r="BE59" s="2">
        <f t="shared" si="50"/>
        <v>-0.0680260744890359</v>
      </c>
      <c r="BF59" s="2">
        <f t="shared" si="51"/>
        <v>0.311803491680582</v>
      </c>
    </row>
    <row r="60" s="2" customFormat="1" spans="1:58">
      <c r="A60" s="5">
        <v>160.5</v>
      </c>
      <c r="B60" s="6">
        <v>0.0600082237186</v>
      </c>
      <c r="C60" s="6">
        <v>0.107555579682</v>
      </c>
      <c r="D60" s="6">
        <v>0.105309712256</v>
      </c>
      <c r="E60" s="6">
        <v>0.227396788033</v>
      </c>
      <c r="F60" s="6">
        <v>0.301019416471</v>
      </c>
      <c r="G60" s="2">
        <f t="shared" si="0"/>
        <v>2.7987336162475</v>
      </c>
      <c r="H60" s="2">
        <f t="shared" si="1"/>
        <v>0.193463836789</v>
      </c>
      <c r="I60" s="2">
        <f t="shared" si="2"/>
        <v>0.473508752641714</v>
      </c>
      <c r="J60" s="2">
        <f t="shared" si="3"/>
        <v>-0.497176287400448</v>
      </c>
      <c r="K60" s="2">
        <f t="shared" si="4"/>
        <v>1.7987336162475</v>
      </c>
      <c r="L60" s="2">
        <f t="shared" si="5"/>
        <v>0.922884668289637</v>
      </c>
      <c r="M60" s="2">
        <f t="shared" si="6"/>
        <v>0.319396589618049</v>
      </c>
      <c r="N60" s="2">
        <f t="shared" si="7"/>
        <v>0.296336910349041</v>
      </c>
      <c r="O60" s="2">
        <f t="shared" si="8"/>
        <v>0.3947026376356</v>
      </c>
      <c r="P60" s="2">
        <f t="shared" si="9"/>
        <v>0.302666185820682</v>
      </c>
      <c r="Q60" s="2">
        <f t="shared" si="10"/>
        <v>0.48165314858953</v>
      </c>
      <c r="R60" s="2">
        <f t="shared" si="11"/>
        <v>2.85842027313914</v>
      </c>
      <c r="S60" s="2">
        <f t="shared" si="12"/>
        <v>0.400868056000766</v>
      </c>
      <c r="T60" s="2">
        <f t="shared" si="13"/>
        <v>-0.489191707814932</v>
      </c>
      <c r="U60" s="2">
        <f t="shared" si="14"/>
        <v>0.323905021937043</v>
      </c>
      <c r="V60" s="2">
        <f t="shared" si="15"/>
        <v>0.300806764558295</v>
      </c>
      <c r="W60" s="2">
        <f t="shared" si="16"/>
        <v>0.195709704215</v>
      </c>
      <c r="X60" s="2">
        <f t="shared" si="17"/>
        <v>0.307024746958092</v>
      </c>
      <c r="Y60" s="2">
        <f t="shared" si="18"/>
        <v>0.990784107961735</v>
      </c>
      <c r="Z60" s="2">
        <f t="shared" si="19"/>
        <v>0.690686331978567</v>
      </c>
      <c r="AA60" s="2">
        <f t="shared" si="20"/>
        <v>2.84775930310968</v>
      </c>
      <c r="AB60" s="2">
        <f t="shared" si="21"/>
        <v>0.2031645643635</v>
      </c>
      <c r="AC60" s="2">
        <f t="shared" si="22"/>
        <v>1.32376283356877</v>
      </c>
      <c r="AD60" s="2">
        <f t="shared" si="23"/>
        <v>0.073622628438</v>
      </c>
      <c r="AE60" s="2">
        <f t="shared" si="24"/>
        <v>0.13932696955633</v>
      </c>
      <c r="AF60" s="2">
        <f t="shared" si="25"/>
        <v>0.101279897862499</v>
      </c>
      <c r="AG60" s="7">
        <f t="shared" si="26"/>
        <v>0.1073825384833</v>
      </c>
      <c r="AH60" s="2">
        <f t="shared" si="27"/>
        <v>28.0478312744853</v>
      </c>
      <c r="AI60" s="2">
        <f t="shared" si="28"/>
        <v>0.323762833568765</v>
      </c>
      <c r="AJ60" s="2">
        <f t="shared" si="29"/>
        <v>0.212388545962597</v>
      </c>
      <c r="AK60" s="2">
        <f t="shared" si="30"/>
        <v>0.121847504572772</v>
      </c>
      <c r="AL60" s="2">
        <f t="shared" si="31"/>
        <v>0.124056128297578</v>
      </c>
      <c r="AM60" s="2">
        <f t="shared" si="32"/>
        <v>2.85842027313914</v>
      </c>
      <c r="AN60" s="2">
        <f t="shared" si="33"/>
        <v>0.122087075777</v>
      </c>
      <c r="AO60" s="2">
        <f t="shared" si="34"/>
        <v>0.366951278892811</v>
      </c>
      <c r="AP60" s="2">
        <f t="shared" si="35"/>
        <v>2.15931449399667</v>
      </c>
      <c r="AQ60" s="2">
        <f t="shared" si="36"/>
        <v>0.119841208351</v>
      </c>
      <c r="AR60" s="2">
        <f t="shared" si="37"/>
        <v>0.357785822409737</v>
      </c>
      <c r="AS60" s="2">
        <f t="shared" si="38"/>
        <v>0.603033760694511</v>
      </c>
      <c r="AT60" s="2">
        <f t="shared" si="39"/>
        <v>0.169120049594124</v>
      </c>
      <c r="AU60" s="2">
        <f t="shared" si="40"/>
        <v>0.357557982425356</v>
      </c>
      <c r="AV60" s="2">
        <f t="shared" si="41"/>
        <v>0.166175486075129</v>
      </c>
      <c r="AW60" s="2">
        <f t="shared" si="42"/>
        <v>0.474999378295901</v>
      </c>
      <c r="AX60" s="2">
        <f t="shared" si="43"/>
        <v>-0.046218579913</v>
      </c>
      <c r="AY60" s="7">
        <f t="shared" si="44"/>
        <v>1.01160871955853</v>
      </c>
      <c r="AZ60" s="2">
        <f t="shared" si="45"/>
        <v>0.0990225824149815</v>
      </c>
      <c r="BA60" s="2">
        <f t="shared" si="46"/>
        <v>0.921574013188902</v>
      </c>
      <c r="BB60" s="2">
        <f t="shared" si="47"/>
        <v>0.0462388518796889</v>
      </c>
      <c r="BC60" s="2">
        <f t="shared" si="48"/>
        <v>0.728875130227761</v>
      </c>
      <c r="BD60" s="2">
        <f t="shared" si="49"/>
        <v>0.065423945748868</v>
      </c>
      <c r="BE60" s="2">
        <f t="shared" si="50"/>
        <v>-0.08093570007684</v>
      </c>
      <c r="BF60" s="2">
        <f t="shared" si="51"/>
        <v>0.294243704639084</v>
      </c>
    </row>
    <row r="61" s="2" customFormat="1" spans="1:58">
      <c r="A61" s="5">
        <v>179.5</v>
      </c>
      <c r="B61" s="6">
        <v>0.050764519804</v>
      </c>
      <c r="C61" s="6">
        <v>0.0926199402448</v>
      </c>
      <c r="D61" s="6">
        <v>0.0873074855071</v>
      </c>
      <c r="E61" s="6">
        <v>0.213813880011</v>
      </c>
      <c r="F61" s="6">
        <v>0.294877699051</v>
      </c>
      <c r="G61" s="2">
        <f t="shared" si="0"/>
        <v>3.18373881770622</v>
      </c>
      <c r="H61" s="2">
        <f t="shared" si="1"/>
        <v>0.2022577588062</v>
      </c>
      <c r="I61" s="2">
        <f t="shared" si="2"/>
        <v>0.52195868644197</v>
      </c>
      <c r="J61" s="2">
        <f t="shared" si="3"/>
        <v>-0.447127051744857</v>
      </c>
      <c r="K61" s="2">
        <f t="shared" si="4"/>
        <v>2.18373881770622</v>
      </c>
      <c r="L61" s="2">
        <f t="shared" si="5"/>
        <v>1.06762420580571</v>
      </c>
      <c r="M61" s="2">
        <f t="shared" si="6"/>
        <v>0.341845008680842</v>
      </c>
      <c r="N61" s="2">
        <f t="shared" si="7"/>
        <v>0.318102029751263</v>
      </c>
      <c r="O61" s="2">
        <f t="shared" si="8"/>
        <v>0.428529702003761</v>
      </c>
      <c r="P61" s="2">
        <f t="shared" si="9"/>
        <v>0.324915672304647</v>
      </c>
      <c r="Q61" s="2">
        <f t="shared" si="10"/>
        <v>0.543114233441315</v>
      </c>
      <c r="R61" s="2">
        <f t="shared" si="11"/>
        <v>3.37746182172455</v>
      </c>
      <c r="S61" s="2">
        <f t="shared" si="12"/>
        <v>0.444094480204525</v>
      </c>
      <c r="T61" s="2">
        <f t="shared" si="13"/>
        <v>-0.423188301561943</v>
      </c>
      <c r="U61" s="2">
        <f t="shared" si="14"/>
        <v>0.352936464776171</v>
      </c>
      <c r="V61" s="2">
        <f t="shared" si="15"/>
        <v>0.329377828631241</v>
      </c>
      <c r="W61" s="2">
        <f t="shared" si="16"/>
        <v>0.2075702135439</v>
      </c>
      <c r="X61" s="2">
        <f t="shared" si="17"/>
        <v>0.335759344492667</v>
      </c>
      <c r="Y61" s="2">
        <f t="shared" si="18"/>
        <v>1.02132963995045</v>
      </c>
      <c r="Z61" s="2">
        <f t="shared" si="19"/>
        <v>0.837787207955413</v>
      </c>
      <c r="AA61" s="2">
        <f t="shared" si="20"/>
        <v>2.93329552581808</v>
      </c>
      <c r="AB61" s="2">
        <f t="shared" si="21"/>
        <v>0.19109259227905</v>
      </c>
      <c r="AC61" s="2">
        <f t="shared" si="22"/>
        <v>1.37913263178157</v>
      </c>
      <c r="AD61" s="2">
        <f t="shared" si="23"/>
        <v>0.08106381904</v>
      </c>
      <c r="AE61" s="2">
        <f t="shared" si="24"/>
        <v>0.159357501434322</v>
      </c>
      <c r="AF61" s="2">
        <f t="shared" si="25"/>
        <v>0.113657941468858</v>
      </c>
      <c r="AG61" s="7">
        <f t="shared" si="26"/>
        <v>0.120547976293283</v>
      </c>
      <c r="AH61" s="2">
        <f t="shared" si="27"/>
        <v>32.1454773868265</v>
      </c>
      <c r="AI61" s="2">
        <f t="shared" si="28"/>
        <v>0.379132631781574</v>
      </c>
      <c r="AJ61" s="2">
        <f t="shared" si="29"/>
        <v>0.245799977446969</v>
      </c>
      <c r="AK61" s="2">
        <f t="shared" si="30"/>
        <v>0.137834698075222</v>
      </c>
      <c r="AL61" s="2">
        <f t="shared" si="31"/>
        <v>0.140623918456256</v>
      </c>
      <c r="AM61" s="2">
        <f t="shared" si="32"/>
        <v>3.37746182172455</v>
      </c>
      <c r="AN61" s="2">
        <f t="shared" si="33"/>
        <v>0.1265063945039</v>
      </c>
      <c r="AO61" s="2">
        <f t="shared" si="34"/>
        <v>0.420117630265913</v>
      </c>
      <c r="AP61" s="2">
        <f t="shared" si="35"/>
        <v>2.44897535153057</v>
      </c>
      <c r="AQ61" s="2">
        <f t="shared" si="36"/>
        <v>0.1211939397662</v>
      </c>
      <c r="AR61" s="2">
        <f t="shared" si="37"/>
        <v>0.395497924037992</v>
      </c>
      <c r="AS61" s="2">
        <f t="shared" si="38"/>
        <v>0.640788312384485</v>
      </c>
      <c r="AT61" s="2">
        <f t="shared" si="39"/>
        <v>0.154029878475592</v>
      </c>
      <c r="AU61" s="2">
        <f t="shared" si="40"/>
        <v>0.355579218335094</v>
      </c>
      <c r="AV61" s="2">
        <f t="shared" si="41"/>
        <v>0.146489299559928</v>
      </c>
      <c r="AW61" s="2">
        <f t="shared" si="42"/>
        <v>0.49476201655483</v>
      </c>
      <c r="AX61" s="2">
        <f t="shared" si="43"/>
        <v>-0.0401301207262</v>
      </c>
      <c r="AY61" s="7">
        <f t="shared" si="44"/>
        <v>1.02626576487872</v>
      </c>
      <c r="AZ61" s="2">
        <f t="shared" si="45"/>
        <v>0.107619519835115</v>
      </c>
      <c r="BA61" s="2">
        <f t="shared" si="46"/>
        <v>0.823318290505102</v>
      </c>
      <c r="BB61" s="2">
        <f t="shared" si="47"/>
        <v>0.0560097030547729</v>
      </c>
      <c r="BC61" s="2">
        <f t="shared" si="48"/>
        <v>0.719335188992689</v>
      </c>
      <c r="BD61" s="2">
        <f t="shared" si="49"/>
        <v>0.0714313441894427</v>
      </c>
      <c r="BE61" s="2">
        <f t="shared" si="50"/>
        <v>-0.072330646617672</v>
      </c>
      <c r="BF61" s="2">
        <f t="shared" si="51"/>
        <v>0.305306733221765</v>
      </c>
    </row>
    <row r="62" s="2" customFormat="1" spans="1:58">
      <c r="A62" s="5">
        <v>143.5</v>
      </c>
      <c r="B62" s="6">
        <v>0.0792124783699</v>
      </c>
      <c r="C62" s="6">
        <v>0.134570458124</v>
      </c>
      <c r="D62" s="6">
        <v>0.154210081307</v>
      </c>
      <c r="E62" s="6">
        <v>0.242290928362</v>
      </c>
      <c r="F62" s="6">
        <v>0.295689038217</v>
      </c>
      <c r="G62" s="2">
        <f t="shared" si="0"/>
        <v>2.19728046065309</v>
      </c>
      <c r="H62" s="2">
        <f t="shared" si="1"/>
        <v>0.161118580093</v>
      </c>
      <c r="I62" s="2">
        <f t="shared" si="2"/>
        <v>0.374468388177785</v>
      </c>
      <c r="J62" s="2">
        <f t="shared" si="3"/>
        <v>-0.582687105682698</v>
      </c>
      <c r="K62" s="2">
        <f t="shared" si="4"/>
        <v>1.19728046065309</v>
      </c>
      <c r="L62" s="2">
        <f t="shared" si="5"/>
        <v>0.66958471032239</v>
      </c>
      <c r="M62" s="2">
        <f t="shared" si="6"/>
        <v>0.259796187074783</v>
      </c>
      <c r="N62" s="2">
        <f t="shared" si="7"/>
        <v>0.238119414445498</v>
      </c>
      <c r="O62" s="2">
        <f t="shared" si="8"/>
        <v>0.316636249084431</v>
      </c>
      <c r="P62" s="2">
        <f t="shared" si="9"/>
        <v>0.245629426154358</v>
      </c>
      <c r="Q62" s="2">
        <f t="shared" si="10"/>
        <v>0.314468179132439</v>
      </c>
      <c r="R62" s="2">
        <f t="shared" si="11"/>
        <v>1.91744298239714</v>
      </c>
      <c r="S62" s="2">
        <f t="shared" si="12"/>
        <v>0.269086451778591</v>
      </c>
      <c r="T62" s="2">
        <f t="shared" si="13"/>
        <v>-0.625893118074442</v>
      </c>
      <c r="U62" s="2">
        <f t="shared" si="14"/>
        <v>0.223411550766932</v>
      </c>
      <c r="V62" s="2">
        <f t="shared" si="15"/>
        <v>0.203943204502309</v>
      </c>
      <c r="W62" s="2">
        <f t="shared" si="16"/>
        <v>0.14147895691</v>
      </c>
      <c r="X62" s="2">
        <f t="shared" si="17"/>
        <v>0.210928020815264</v>
      </c>
      <c r="Y62" s="2">
        <f t="shared" si="18"/>
        <v>0.902478907860145</v>
      </c>
      <c r="Z62" s="2">
        <f t="shared" si="19"/>
        <v>0.384717654396427</v>
      </c>
      <c r="AA62" s="2">
        <f t="shared" si="20"/>
        <v>2.60964929152729</v>
      </c>
      <c r="AB62" s="2">
        <f t="shared" si="21"/>
        <v>0.224949559762</v>
      </c>
      <c r="AC62" s="2">
        <f t="shared" si="22"/>
        <v>1.22038839925207</v>
      </c>
      <c r="AD62" s="2">
        <f t="shared" si="23"/>
        <v>0.053398109855</v>
      </c>
      <c r="AE62" s="2">
        <f t="shared" si="24"/>
        <v>0.0992566883011595</v>
      </c>
      <c r="AF62" s="2">
        <f t="shared" si="25"/>
        <v>0.0728019199317491</v>
      </c>
      <c r="AG62" s="7">
        <f t="shared" si="26"/>
        <v>0.0771663879472416</v>
      </c>
      <c r="AH62" s="2">
        <f t="shared" si="27"/>
        <v>19.9169168122043</v>
      </c>
      <c r="AI62" s="2">
        <f t="shared" si="28"/>
        <v>0.220388399252073</v>
      </c>
      <c r="AJ62" s="2">
        <f t="shared" si="29"/>
        <v>0.147902071147616</v>
      </c>
      <c r="AK62" s="2">
        <f t="shared" si="30"/>
        <v>0.0843217591596854</v>
      </c>
      <c r="AL62" s="2">
        <f t="shared" si="31"/>
        <v>0.0887443915265857</v>
      </c>
      <c r="AM62" s="2">
        <f t="shared" si="32"/>
        <v>1.91744298239714</v>
      </c>
      <c r="AN62" s="2">
        <f t="shared" si="33"/>
        <v>0.088080847055</v>
      </c>
      <c r="AO62" s="2">
        <f t="shared" si="34"/>
        <v>0.222145328528999</v>
      </c>
      <c r="AP62" s="2">
        <f t="shared" si="35"/>
        <v>1.57117437659377</v>
      </c>
      <c r="AQ62" s="2">
        <f t="shared" si="36"/>
        <v>0.107720470238</v>
      </c>
      <c r="AR62" s="2">
        <f t="shared" si="37"/>
        <v>0.285835784988287</v>
      </c>
      <c r="AS62" s="2">
        <f t="shared" si="38"/>
        <v>0.606239740424576</v>
      </c>
      <c r="AT62" s="2">
        <f t="shared" si="39"/>
        <v>0.200089767519553</v>
      </c>
      <c r="AU62" s="2">
        <f t="shared" si="40"/>
        <v>0.360256895933114</v>
      </c>
      <c r="AV62" s="2">
        <f t="shared" si="41"/>
        <v>0.222785753389505</v>
      </c>
      <c r="AW62" s="2">
        <f t="shared" si="42"/>
        <v>0.427178979414767</v>
      </c>
      <c r="AX62" s="2">
        <f t="shared" si="43"/>
        <v>-0.054322360383</v>
      </c>
      <c r="AY62" s="7">
        <f t="shared" si="44"/>
        <v>0.87810454156396</v>
      </c>
      <c r="AZ62" s="2">
        <f t="shared" si="45"/>
        <v>0.0767145367469283</v>
      </c>
      <c r="BA62" s="2">
        <f t="shared" si="46"/>
        <v>1.19974767693117</v>
      </c>
      <c r="BB62" s="2">
        <f t="shared" si="47"/>
        <v>0.0258409845991372</v>
      </c>
      <c r="BC62" s="2">
        <f t="shared" si="48"/>
        <v>0.703303085252272</v>
      </c>
      <c r="BD62" s="2">
        <f t="shared" si="49"/>
        <v>0.0565987629142512</v>
      </c>
      <c r="BE62" s="2">
        <f t="shared" si="50"/>
        <v>-0.09115065538008</v>
      </c>
      <c r="BF62" s="2">
        <f t="shared" si="51"/>
        <v>0.265060259917149</v>
      </c>
    </row>
    <row r="63" s="2" customFormat="1" spans="1:58">
      <c r="A63" s="5">
        <v>120</v>
      </c>
      <c r="B63" s="6">
        <v>0.073668445631</v>
      </c>
      <c r="C63" s="6">
        <v>0.125145115555</v>
      </c>
      <c r="D63" s="6">
        <v>0.140385358907</v>
      </c>
      <c r="E63" s="6">
        <v>0.232247468934</v>
      </c>
      <c r="F63" s="6">
        <v>0.288420728031</v>
      </c>
      <c r="G63" s="2">
        <f t="shared" si="0"/>
        <v>2.30469025300665</v>
      </c>
      <c r="H63" s="2">
        <f t="shared" si="1"/>
        <v>0.163275612476</v>
      </c>
      <c r="I63" s="2">
        <f t="shared" si="2"/>
        <v>0.394799558542477</v>
      </c>
      <c r="J63" s="2">
        <f t="shared" si="3"/>
        <v>-0.566707060893144</v>
      </c>
      <c r="K63" s="2">
        <f t="shared" si="4"/>
        <v>1.30469025300666</v>
      </c>
      <c r="L63" s="2">
        <f t="shared" si="5"/>
        <v>0.717698499316879</v>
      </c>
      <c r="M63" s="2">
        <f t="shared" si="6"/>
        <v>0.268085130845793</v>
      </c>
      <c r="N63" s="2">
        <f t="shared" si="7"/>
        <v>0.245230135847251</v>
      </c>
      <c r="O63" s="2">
        <f t="shared" si="8"/>
        <v>0.330214416688433</v>
      </c>
      <c r="P63" s="2">
        <f t="shared" si="9"/>
        <v>0.253891984367915</v>
      </c>
      <c r="Q63" s="2">
        <f t="shared" si="10"/>
        <v>0.345226837102721</v>
      </c>
      <c r="R63" s="2">
        <f t="shared" si="11"/>
        <v>2.05449293485133</v>
      </c>
      <c r="S63" s="2">
        <f t="shared" si="12"/>
        <v>0.291642753010333</v>
      </c>
      <c r="T63" s="2">
        <f t="shared" si="13"/>
        <v>-0.604442184185592</v>
      </c>
      <c r="U63" s="2">
        <f t="shared" si="14"/>
        <v>0.239073641752331</v>
      </c>
      <c r="V63" s="2">
        <f t="shared" si="15"/>
        <v>0.217862662501354</v>
      </c>
      <c r="W63" s="2">
        <f t="shared" si="16"/>
        <v>0.148035369124</v>
      </c>
      <c r="X63" s="2">
        <f t="shared" si="17"/>
        <v>0.226065880357944</v>
      </c>
      <c r="Y63" s="2">
        <f t="shared" si="18"/>
        <v>0.91936219038131</v>
      </c>
      <c r="Z63" s="2">
        <f t="shared" si="19"/>
        <v>0.43335024849174</v>
      </c>
      <c r="AA63" s="2">
        <f t="shared" si="20"/>
        <v>2.66033096014905</v>
      </c>
      <c r="AB63" s="2">
        <f t="shared" si="21"/>
        <v>0.214403043469</v>
      </c>
      <c r="AC63" s="2">
        <f t="shared" si="22"/>
        <v>1.24186812177042</v>
      </c>
      <c r="AD63" s="2">
        <f t="shared" si="23"/>
        <v>0.056173259097</v>
      </c>
      <c r="AE63" s="2">
        <f t="shared" si="24"/>
        <v>0.107886864272557</v>
      </c>
      <c r="AF63" s="2">
        <f t="shared" si="25"/>
        <v>0.0778482933656559</v>
      </c>
      <c r="AG63" s="7">
        <f t="shared" si="26"/>
        <v>0.0825536534752923</v>
      </c>
      <c r="AH63" s="2">
        <f t="shared" si="27"/>
        <v>21.6616795724141</v>
      </c>
      <c r="AI63" s="2">
        <f t="shared" si="28"/>
        <v>0.241868121770418</v>
      </c>
      <c r="AJ63" s="2">
        <f t="shared" si="29"/>
        <v>0.161537590749966</v>
      </c>
      <c r="AK63" s="2">
        <f t="shared" si="30"/>
        <v>0.0907184931606984</v>
      </c>
      <c r="AL63" s="2">
        <f t="shared" si="31"/>
        <v>0.0957309021386092</v>
      </c>
      <c r="AM63" s="2">
        <f t="shared" si="32"/>
        <v>2.05449293485133</v>
      </c>
      <c r="AN63" s="2">
        <f t="shared" si="33"/>
        <v>0.091862110027</v>
      </c>
      <c r="AO63" s="2">
        <f t="shared" si="34"/>
        <v>0.246521785424115</v>
      </c>
      <c r="AP63" s="2">
        <f t="shared" si="35"/>
        <v>1.65435677012341</v>
      </c>
      <c r="AQ63" s="2">
        <f t="shared" si="36"/>
        <v>0.107102353379</v>
      </c>
      <c r="AR63" s="2">
        <f t="shared" si="37"/>
        <v>0.299677044312867</v>
      </c>
      <c r="AS63" s="2">
        <f t="shared" si="38"/>
        <v>0.611495415035531</v>
      </c>
      <c r="AT63" s="2">
        <f t="shared" si="39"/>
        <v>0.193779089295445</v>
      </c>
      <c r="AU63" s="2">
        <f t="shared" si="40"/>
        <v>0.359620132368838</v>
      </c>
      <c r="AV63" s="2">
        <f t="shared" si="41"/>
        <v>0.212366089948365</v>
      </c>
      <c r="AW63" s="2">
        <f t="shared" si="42"/>
        <v>0.436304631400919</v>
      </c>
      <c r="AX63" s="2">
        <f t="shared" si="43"/>
        <v>-0.050929094282</v>
      </c>
      <c r="AY63" s="7">
        <f t="shared" si="44"/>
        <v>0.90665940172639</v>
      </c>
      <c r="AZ63" s="2">
        <f t="shared" si="45"/>
        <v>0.0805551334883827</v>
      </c>
      <c r="BA63" s="2">
        <f t="shared" si="46"/>
        <v>1.13346325850884</v>
      </c>
      <c r="BB63" s="2">
        <f t="shared" si="47"/>
        <v>0.0292064241292175</v>
      </c>
      <c r="BC63" s="2">
        <f t="shared" si="48"/>
        <v>0.688478163187343</v>
      </c>
      <c r="BD63" s="2">
        <f t="shared" si="49"/>
        <v>0.0582155338052326</v>
      </c>
      <c r="BE63" s="2">
        <f t="shared" si="50"/>
        <v>-0.08619017817156</v>
      </c>
      <c r="BF63" s="2">
        <f t="shared" si="51"/>
        <v>0.273269971908921</v>
      </c>
    </row>
    <row r="64" s="2" customFormat="1" spans="1:58">
      <c r="A64" s="5">
        <v>156.5</v>
      </c>
      <c r="B64" s="6">
        <v>0.0570223360226</v>
      </c>
      <c r="C64" s="6">
        <v>0.102885878238</v>
      </c>
      <c r="D64" s="6">
        <v>0.102583556121</v>
      </c>
      <c r="E64" s="6">
        <v>0.225911777574</v>
      </c>
      <c r="F64" s="6">
        <v>0.304304887202</v>
      </c>
      <c r="G64" s="2">
        <f t="shared" si="0"/>
        <v>2.95769344066898</v>
      </c>
      <c r="H64" s="2">
        <f t="shared" si="1"/>
        <v>0.201419008964</v>
      </c>
      <c r="I64" s="2">
        <f t="shared" si="2"/>
        <v>0.494655149525191</v>
      </c>
      <c r="J64" s="2">
        <f t="shared" si="3"/>
        <v>-0.476098409848944</v>
      </c>
      <c r="K64" s="2">
        <f t="shared" si="4"/>
        <v>1.95769344066898</v>
      </c>
      <c r="L64" s="2">
        <f t="shared" si="5"/>
        <v>0.984064602360333</v>
      </c>
      <c r="M64" s="2">
        <f t="shared" si="6"/>
        <v>0.333037465719201</v>
      </c>
      <c r="N64" s="2">
        <f t="shared" si="7"/>
        <v>0.310272161920545</v>
      </c>
      <c r="O64" s="2">
        <f t="shared" si="8"/>
        <v>0.411935568480189</v>
      </c>
      <c r="P64" s="2">
        <f t="shared" si="9"/>
        <v>0.31564687547369</v>
      </c>
      <c r="Q64" s="2">
        <f t="shared" si="10"/>
        <v>0.495765693008065</v>
      </c>
      <c r="R64" s="2">
        <f t="shared" si="11"/>
        <v>2.96641000476786</v>
      </c>
      <c r="S64" s="2">
        <f t="shared" si="12"/>
        <v>0.412773883133536</v>
      </c>
      <c r="T64" s="2">
        <f t="shared" si="13"/>
        <v>-0.474959755100714</v>
      </c>
      <c r="U64" s="2">
        <f t="shared" si="14"/>
        <v>0.333648530697762</v>
      </c>
      <c r="V64" s="2">
        <f t="shared" si="15"/>
        <v>0.310884488946089</v>
      </c>
      <c r="W64" s="2">
        <f t="shared" si="16"/>
        <v>0.201721331081</v>
      </c>
      <c r="X64" s="2">
        <f t="shared" si="17"/>
        <v>0.316238067755736</v>
      </c>
      <c r="Y64" s="2">
        <f t="shared" si="18"/>
        <v>0.997880600577076</v>
      </c>
      <c r="Z64" s="2">
        <f t="shared" si="19"/>
        <v>0.722326915764793</v>
      </c>
      <c r="AA64" s="2">
        <f t="shared" si="20"/>
        <v>2.86702726817457</v>
      </c>
      <c r="AB64" s="2">
        <f t="shared" si="21"/>
        <v>0.2034442216615</v>
      </c>
      <c r="AC64" s="2">
        <f t="shared" si="22"/>
        <v>1.34700762602924</v>
      </c>
      <c r="AD64" s="2">
        <f t="shared" si="23"/>
        <v>0.078393109628</v>
      </c>
      <c r="AE64" s="2">
        <f t="shared" si="24"/>
        <v>0.147851085859624</v>
      </c>
      <c r="AF64" s="2">
        <f t="shared" si="25"/>
        <v>0.107659214108279</v>
      </c>
      <c r="AG64" s="7">
        <f t="shared" si="26"/>
        <v>0.114140712786438</v>
      </c>
      <c r="AH64" s="2">
        <f t="shared" si="27"/>
        <v>29.7885558903843</v>
      </c>
      <c r="AI64" s="2">
        <f t="shared" si="28"/>
        <v>0.347007626029243</v>
      </c>
      <c r="AJ64" s="2">
        <f t="shared" si="29"/>
        <v>0.226507073421547</v>
      </c>
      <c r="AK64" s="2">
        <f t="shared" si="30"/>
        <v>0.129662766471178</v>
      </c>
      <c r="AL64" s="2">
        <f t="shared" si="31"/>
        <v>0.131749944342465</v>
      </c>
      <c r="AM64" s="2">
        <f t="shared" si="32"/>
        <v>2.96641000476786</v>
      </c>
      <c r="AN64" s="2">
        <f t="shared" si="33"/>
        <v>0.123328221453</v>
      </c>
      <c r="AO64" s="2">
        <f t="shared" si="34"/>
        <v>0.375433708801195</v>
      </c>
      <c r="AP64" s="2">
        <f t="shared" si="35"/>
        <v>2.20222213107461</v>
      </c>
      <c r="AQ64" s="2">
        <f t="shared" si="36"/>
        <v>0.123025899336</v>
      </c>
      <c r="AR64" s="2">
        <f t="shared" si="37"/>
        <v>0.374169028158594</v>
      </c>
      <c r="AS64" s="2">
        <f t="shared" si="38"/>
        <v>0.635646153851942</v>
      </c>
      <c r="AT64" s="2">
        <f t="shared" si="39"/>
        <v>0.162510606493844</v>
      </c>
      <c r="AU64" s="2">
        <f t="shared" si="40"/>
        <v>0.356832838640176</v>
      </c>
      <c r="AV64" s="2">
        <f t="shared" si="41"/>
        <v>0.162110493538683</v>
      </c>
      <c r="AW64" s="2">
        <f t="shared" si="42"/>
        <v>0.480886189911004</v>
      </c>
      <c r="AX64" s="2">
        <f t="shared" si="43"/>
        <v>-0.044632789708</v>
      </c>
      <c r="AY64" s="7">
        <f t="shared" si="44"/>
        <v>1.00150096119803</v>
      </c>
      <c r="AZ64" s="2">
        <f t="shared" si="45"/>
        <v>0.1037972077758</v>
      </c>
      <c r="BA64" s="2">
        <f t="shared" si="46"/>
        <v>0.875849362509475</v>
      </c>
      <c r="BB64" s="2">
        <f t="shared" si="47"/>
        <v>0.0513335282767104</v>
      </c>
      <c r="BC64" s="2">
        <f t="shared" si="48"/>
        <v>0.739533604451392</v>
      </c>
      <c r="BD64" s="2">
        <f t="shared" si="49"/>
        <v>0.072147226104674</v>
      </c>
      <c r="BE64" s="2">
        <f t="shared" si="50"/>
        <v>-0.07903432509984</v>
      </c>
      <c r="BF64" s="2">
        <f t="shared" si="51"/>
        <v>0.298897294411154</v>
      </c>
    </row>
    <row r="65" s="3" customFormat="1" spans="1:58">
      <c r="A65" s="8">
        <v>188.5</v>
      </c>
      <c r="B65" s="9">
        <v>0.100243884287</v>
      </c>
      <c r="C65" s="9">
        <v>0.133011564031</v>
      </c>
      <c r="D65" s="6">
        <v>0.0799358608102</v>
      </c>
      <c r="E65" s="10">
        <v>0.183534578026404</v>
      </c>
      <c r="F65" s="9">
        <v>0.273538564931</v>
      </c>
      <c r="G65" s="1">
        <f t="shared" si="0"/>
        <v>2.05650213140301</v>
      </c>
      <c r="H65" s="1">
        <f t="shared" si="1"/>
        <v>0.1405270009</v>
      </c>
      <c r="I65" s="1">
        <f t="shared" si="2"/>
        <v>0.345657253285818</v>
      </c>
      <c r="J65" s="1">
        <f t="shared" si="3"/>
        <v>-0.604131915585595</v>
      </c>
      <c r="K65" s="1">
        <f t="shared" si="4"/>
        <v>1.05650213140301</v>
      </c>
      <c r="L65" s="1">
        <f t="shared" si="5"/>
        <v>0.60430755814517</v>
      </c>
      <c r="M65" s="1">
        <f t="shared" si="6"/>
        <v>0.232519410251869</v>
      </c>
      <c r="N65" s="1">
        <f t="shared" si="7"/>
        <v>0.210237659876241</v>
      </c>
      <c r="O65" s="1">
        <f t="shared" si="8"/>
        <v>0.287726209404735</v>
      </c>
      <c r="P65" s="1">
        <f t="shared" si="9"/>
        <v>0.220395501640999</v>
      </c>
      <c r="Q65" s="2">
        <f t="shared" si="10"/>
        <v>0.547713469552528</v>
      </c>
      <c r="R65" s="1">
        <f t="shared" si="11"/>
        <v>3.42197559591547</v>
      </c>
      <c r="S65" s="2">
        <f t="shared" si="12"/>
        <v>0.437371610973513</v>
      </c>
      <c r="T65" s="1">
        <f t="shared" si="13"/>
        <v>-0.417799120973992</v>
      </c>
      <c r="U65" s="1">
        <f t="shared" si="14"/>
        <v>0.340260993677694</v>
      </c>
      <c r="V65" s="2">
        <f t="shared" si="15"/>
        <v>0.314020879532591</v>
      </c>
      <c r="W65" s="2">
        <f t="shared" si="16"/>
        <v>0.1936027041208</v>
      </c>
      <c r="X65" s="1">
        <f t="shared" si="17"/>
        <v>0.325636006591339</v>
      </c>
      <c r="Y65" s="2">
        <f t="shared" si="18"/>
        <v>1.02357875591111</v>
      </c>
      <c r="Z65" s="1">
        <f t="shared" si="19"/>
        <v>0.849858263736837</v>
      </c>
      <c r="AA65" s="1">
        <f t="shared" si="20"/>
        <v>2.94091033969435</v>
      </c>
      <c r="AB65" s="1">
        <f t="shared" si="21"/>
        <v>0.1767372128706</v>
      </c>
      <c r="AC65" s="2">
        <f t="shared" si="22"/>
        <v>1.4903925345972</v>
      </c>
      <c r="AD65" s="2">
        <f t="shared" si="23"/>
        <v>0.090003986904596</v>
      </c>
      <c r="AE65" s="1">
        <f t="shared" si="24"/>
        <v>0.196913750657592</v>
      </c>
      <c r="AF65" s="2">
        <f t="shared" si="25"/>
        <v>0.133127843201641</v>
      </c>
      <c r="AG65" s="7">
        <f t="shared" si="26"/>
        <v>0.141061298554172</v>
      </c>
      <c r="AH65" s="1">
        <f t="shared" si="27"/>
        <v>39.9039531299943</v>
      </c>
      <c r="AI65" s="1">
        <f t="shared" si="28"/>
        <v>0.490392534597201</v>
      </c>
      <c r="AJ65" s="1">
        <f t="shared" si="29"/>
        <v>0.310749148481565</v>
      </c>
      <c r="AK65" s="2">
        <f t="shared" si="30"/>
        <v>0.158183978670067</v>
      </c>
      <c r="AL65" s="2">
        <f t="shared" si="31"/>
        <v>0.169193273116633</v>
      </c>
      <c r="AM65" s="1">
        <f t="shared" si="32"/>
        <v>3.42197559591547</v>
      </c>
      <c r="AN65" s="1">
        <f t="shared" si="33"/>
        <v>0.103598717216204</v>
      </c>
      <c r="AO65" s="1">
        <f t="shared" si="34"/>
        <v>0.393208124879819</v>
      </c>
      <c r="AP65" s="1">
        <f t="shared" si="35"/>
        <v>2.29602303854823</v>
      </c>
      <c r="AQ65" s="1">
        <f t="shared" si="36"/>
        <v>0.050523013995404</v>
      </c>
      <c r="AR65" s="1">
        <f t="shared" si="37"/>
        <v>0.159607107093543</v>
      </c>
      <c r="AS65" s="1">
        <f t="shared" si="38"/>
        <v>0.868775109606457</v>
      </c>
      <c r="AT65" s="1">
        <f t="shared" si="39"/>
        <v>0.225410966350656</v>
      </c>
      <c r="AU65" s="2">
        <f t="shared" si="40"/>
        <v>0.311030900907606</v>
      </c>
      <c r="AV65" s="2">
        <f t="shared" si="41"/>
        <v>0.14885385580014</v>
      </c>
      <c r="AW65" s="2">
        <f t="shared" si="42"/>
        <v>0.509374261906001</v>
      </c>
      <c r="AX65" s="2">
        <f t="shared" si="43"/>
        <v>0.0394809729091919</v>
      </c>
      <c r="AY65" s="11">
        <f t="shared" si="44"/>
        <v>1.37769042874948</v>
      </c>
      <c r="AZ65" s="2">
        <f t="shared" si="45"/>
        <v>0.163387029223639</v>
      </c>
      <c r="BA65" s="1">
        <f t="shared" si="46"/>
        <v>1.86352832875472</v>
      </c>
      <c r="BB65" s="2">
        <f t="shared" si="47"/>
        <v>0.0922531915564552</v>
      </c>
      <c r="BC65" s="1">
        <f t="shared" si="48"/>
        <v>0.674850799246049</v>
      </c>
      <c r="BD65" s="1">
        <f t="shared" si="49"/>
        <v>0.0968855457741053</v>
      </c>
      <c r="BE65" s="2">
        <f t="shared" si="50"/>
        <v>0.0507898393097879</v>
      </c>
      <c r="BF65" s="1">
        <f t="shared" si="51"/>
        <v>0.569679209059638</v>
      </c>
    </row>
    <row r="66" s="3" customFormat="1" spans="1:58">
      <c r="A66" s="8">
        <v>201</v>
      </c>
      <c r="B66" s="9">
        <v>0.0979806732996</v>
      </c>
      <c r="C66" s="9">
        <v>0.122423460806</v>
      </c>
      <c r="D66" s="6">
        <v>0.079484883237</v>
      </c>
      <c r="E66" s="10">
        <v>0.18307458090174</v>
      </c>
      <c r="F66" s="9">
        <v>0.259103355832</v>
      </c>
      <c r="G66" s="1">
        <f t="shared" si="0"/>
        <v>2.11645181508626</v>
      </c>
      <c r="H66" s="1">
        <f t="shared" si="1"/>
        <v>0.136679895026</v>
      </c>
      <c r="I66" s="1">
        <f t="shared" si="2"/>
        <v>0.358244529782777</v>
      </c>
      <c r="J66" s="1">
        <f t="shared" si="3"/>
        <v>-0.594929123417175</v>
      </c>
      <c r="K66" s="1">
        <f t="shared" si="4"/>
        <v>1.11645181508626</v>
      </c>
      <c r="L66" s="1">
        <f t="shared" si="5"/>
        <v>0.632426087002034</v>
      </c>
      <c r="M66" s="1">
        <f t="shared" si="6"/>
        <v>0.232573574245775</v>
      </c>
      <c r="N66" s="1">
        <f t="shared" si="7"/>
        <v>0.208759722468804</v>
      </c>
      <c r="O66" s="1">
        <f t="shared" si="8"/>
        <v>0.292780843642221</v>
      </c>
      <c r="P66" s="1">
        <f t="shared" si="9"/>
        <v>0.221279969098761</v>
      </c>
      <c r="Q66" s="2">
        <f t="shared" si="10"/>
        <v>0.5304923558151</v>
      </c>
      <c r="R66" s="1">
        <f t="shared" si="11"/>
        <v>3.25978154939766</v>
      </c>
      <c r="S66" s="2">
        <f t="shared" si="12"/>
        <v>0.417894791500217</v>
      </c>
      <c r="T66" s="1">
        <f t="shared" si="13"/>
        <v>-0.437634909621502</v>
      </c>
      <c r="U66" s="1">
        <f t="shared" si="14"/>
        <v>0.321287249618023</v>
      </c>
      <c r="V66" s="2">
        <f t="shared" si="15"/>
        <v>0.293269737846561</v>
      </c>
      <c r="W66" s="2">
        <f t="shared" si="16"/>
        <v>0.179618472595</v>
      </c>
      <c r="X66" s="1">
        <f t="shared" si="17"/>
        <v>0.308684671914288</v>
      </c>
      <c r="Y66" s="2">
        <f t="shared" si="18"/>
        <v>1.01513169382849</v>
      </c>
      <c r="Z66" s="1">
        <f t="shared" si="19"/>
        <v>0.805486513214004</v>
      </c>
      <c r="AA66" s="1">
        <f t="shared" si="20"/>
        <v>2.92235934403879</v>
      </c>
      <c r="AB66" s="1">
        <f t="shared" si="21"/>
        <v>0.1692941195345</v>
      </c>
      <c r="AC66" s="2">
        <f t="shared" si="22"/>
        <v>1.41528853735881</v>
      </c>
      <c r="AD66" s="2">
        <f t="shared" si="23"/>
        <v>0.07602877493026</v>
      </c>
      <c r="AE66" s="1">
        <f t="shared" si="24"/>
        <v>0.171941584177324</v>
      </c>
      <c r="AF66" s="2">
        <f t="shared" si="25"/>
        <v>0.11433506900584</v>
      </c>
      <c r="AG66" s="7">
        <f t="shared" si="26"/>
        <v>0.12104206429493</v>
      </c>
      <c r="AH66" s="1">
        <f t="shared" si="27"/>
        <v>34.7333423635482</v>
      </c>
      <c r="AI66" s="1">
        <f t="shared" si="28"/>
        <v>0.415288537358806</v>
      </c>
      <c r="AJ66" s="1">
        <f t="shared" si="29"/>
        <v>0.267217830625423</v>
      </c>
      <c r="AK66" s="2">
        <f t="shared" si="30"/>
        <v>0.135994230639343</v>
      </c>
      <c r="AL66" s="2">
        <f t="shared" si="31"/>
        <v>0.14645734016339</v>
      </c>
      <c r="AM66" s="1">
        <f t="shared" si="32"/>
        <v>3.25978154939766</v>
      </c>
      <c r="AN66" s="1">
        <f t="shared" si="33"/>
        <v>0.10358969766474</v>
      </c>
      <c r="AO66" s="1">
        <f t="shared" si="34"/>
        <v>0.394538044951226</v>
      </c>
      <c r="AP66" s="1">
        <f t="shared" si="35"/>
        <v>2.30326287774578</v>
      </c>
      <c r="AQ66" s="1">
        <f t="shared" si="36"/>
        <v>0.06065112009574</v>
      </c>
      <c r="AR66" s="1">
        <f t="shared" si="37"/>
        <v>0.198531943958459</v>
      </c>
      <c r="AS66" s="1">
        <f t="shared" si="38"/>
        <v>0.733941469511004</v>
      </c>
      <c r="AT66" s="1">
        <f t="shared" si="39"/>
        <v>0.216831664497223</v>
      </c>
      <c r="AU66" s="2">
        <f t="shared" si="40"/>
        <v>0.324254565609456</v>
      </c>
      <c r="AV66" s="2">
        <f t="shared" si="41"/>
        <v>0.152368311856034</v>
      </c>
      <c r="AW66" s="2">
        <f t="shared" si="42"/>
        <v>0.496687411701169</v>
      </c>
      <c r="AX66" s="2">
        <f t="shared" si="43"/>
        <v>0.0153776548345199</v>
      </c>
      <c r="AY66" s="11">
        <f t="shared" si="44"/>
        <v>1.31415430602161</v>
      </c>
      <c r="AZ66" s="2">
        <f t="shared" si="45"/>
        <v>0.132051725565281</v>
      </c>
      <c r="BA66" s="1">
        <f t="shared" si="46"/>
        <v>1.6260783756892</v>
      </c>
      <c r="BB66" s="2">
        <f t="shared" si="47"/>
        <v>0.0689143559246889</v>
      </c>
      <c r="BC66" s="1">
        <f t="shared" si="48"/>
        <v>0.633088992468275</v>
      </c>
      <c r="BD66" s="1">
        <f t="shared" si="49"/>
        <v>0.0755591455738197</v>
      </c>
      <c r="BE66" s="2">
        <f t="shared" si="50"/>
        <v>0.0148656885502199</v>
      </c>
      <c r="BF66" s="1">
        <f t="shared" si="51"/>
        <v>0.479955923630102</v>
      </c>
    </row>
    <row r="67" s="3" customFormat="1" spans="1:58">
      <c r="A67" s="8">
        <v>199.5</v>
      </c>
      <c r="B67" s="9">
        <v>0.157530983682</v>
      </c>
      <c r="C67" s="9">
        <v>0.190131269683</v>
      </c>
      <c r="D67" s="6">
        <v>0.147131251635</v>
      </c>
      <c r="E67" s="10">
        <v>0.2520738766677</v>
      </c>
      <c r="F67" s="9">
        <v>0.249894406239</v>
      </c>
      <c r="G67" s="1">
        <f t="shared" ref="G67:G130" si="52">F67/C67</f>
        <v>1.31432565856022</v>
      </c>
      <c r="H67" s="1">
        <f t="shared" ref="H67:H130" si="53">F67-C67</f>
        <v>0.059763136556</v>
      </c>
      <c r="I67" s="1">
        <f t="shared" ref="I67:I130" si="54">(F67-C67)/(F67+C67)</f>
        <v>0.135817384816866</v>
      </c>
      <c r="J67" s="1">
        <f t="shared" ref="J67:J130" si="55">(0.12*F67-C67)/(0.12*F67+C67)</f>
        <v>-0.727534802035482</v>
      </c>
      <c r="K67" s="1">
        <f t="shared" ref="K67:K130" si="56">F67/C67-1</f>
        <v>0.314325658560221</v>
      </c>
      <c r="L67" s="1">
        <f t="shared" ref="L67:L130" si="57">(F67/C67-1)/POWER(F67/C67+1,0.5)</f>
        <v>0.206617736234062</v>
      </c>
      <c r="M67" s="1">
        <f t="shared" ref="M67:M130" si="58">1.5*(F67-C67)/(F67+C67+0.5)</f>
        <v>0.0953641024178135</v>
      </c>
      <c r="N67" s="1">
        <f t="shared" ref="N67:N130" si="59">0.5*(2*F67+1-POWER(POWER(2*F67+1,2)-8*(F67-C67),0.5))</f>
        <v>0.0844506840531623</v>
      </c>
      <c r="O67" s="1">
        <f t="shared" ref="O67:O130" si="60">1.16*(F67-C67)/(F67+C67+0.16)</f>
        <v>0.115537119804806</v>
      </c>
      <c r="P67" s="1">
        <f t="shared" ref="P67:P130" si="61">(F67-C67)/POWER(F67+C67,0.5)</f>
        <v>0.0900936896540994</v>
      </c>
      <c r="Q67" s="2">
        <f t="shared" ref="Q67:Q130" si="62">(F67-D67)/(F67+D67)</f>
        <v>0.258832527737069</v>
      </c>
      <c r="R67" s="1">
        <f t="shared" ref="R67:R130" si="63">F67/D67</f>
        <v>1.69844545915325</v>
      </c>
      <c r="S67" s="2">
        <f t="shared" ref="S67:S130" si="64">1.16*(F67-D67)/(F67+D67+0.16)</f>
        <v>0.214003174998457</v>
      </c>
      <c r="T67" s="1">
        <f t="shared" ref="T67:T130" si="65">(0.12*F67-D67)/(0.12*F67+D67)</f>
        <v>-0.661386979460647</v>
      </c>
      <c r="U67" s="1">
        <f t="shared" ref="U67:U130" si="66">1.5*(F67-D67)/(F67+D67+0.5)</f>
        <v>0.171839824817644</v>
      </c>
      <c r="V67" s="2">
        <f t="shared" ref="V67:V130" si="67">(2*F67+1-POWER(POWER(2*F67+1,2)-8*(F67-D67),0.5))/2</f>
        <v>0.152554208947254</v>
      </c>
      <c r="W67" s="2">
        <f t="shared" ref="W67:W130" si="68">F67-D67</f>
        <v>0.102763154604</v>
      </c>
      <c r="X67" s="1">
        <f t="shared" ref="X67:X130" si="69">(F67-D67)/POWER(F67+D67,0.5)</f>
        <v>0.163090303403938</v>
      </c>
      <c r="Y67" s="2">
        <f t="shared" ref="Y67:Y130" si="70">POWER((F67-D67)/(F67+D67)+0.5,0.5)</f>
        <v>0.871109940097729</v>
      </c>
      <c r="Z67" s="1">
        <f t="shared" ref="Z67:Z130" si="71">(F67/D67-1)/(POWER(F67/D67,0.5)+1)</f>
        <v>0.303244205493832</v>
      </c>
      <c r="AA67" s="1">
        <f t="shared" ref="AA67:AA130" si="72">((1+0.45)*(POWER(F67,2)+1)/(D67+0.45))</f>
        <v>2.5799159840867</v>
      </c>
      <c r="AB67" s="1">
        <f t="shared" ref="AB67:AB130" si="73">(D67+F67)/2</f>
        <v>0.198512828937</v>
      </c>
      <c r="AC67" s="2">
        <f t="shared" ref="AC67:AC130" si="74">F67/E67</f>
        <v>0.991353842542069</v>
      </c>
      <c r="AD67" s="2">
        <f t="shared" ref="AD67:AD130" si="75">F67-E67</f>
        <v>-0.00217947042869998</v>
      </c>
      <c r="AE67" s="1">
        <f t="shared" ref="AE67:AE130" si="76">(F67-E67)/(F67+E67)</f>
        <v>-0.00434184888351816</v>
      </c>
      <c r="AF67" s="2">
        <f t="shared" ref="AF67:AF130" si="77">(F67-E67)/POWER(F67+E67,0.5)</f>
        <v>-0.00307618777832431</v>
      </c>
      <c r="AG67" s="7">
        <f t="shared" ref="AG67:AG130" si="78">1.5*(F67-E67)/(F67+E67+0.5)</f>
        <v>-0.00326278356193675</v>
      </c>
      <c r="AH67" s="1">
        <f t="shared" ref="AH67:AH130" si="79">100*(LN(F67)-LN(E67))</f>
        <v>-0.868375233500229</v>
      </c>
      <c r="AI67" s="1">
        <f t="shared" ref="AI67:AI130" si="80">F67/E67-1</f>
        <v>-0.00864615745793085</v>
      </c>
      <c r="AJ67" s="1">
        <f t="shared" ref="AJ67:AJ130" si="81">(F67/E67-1)/POWER(F67/E67+1,0.5)</f>
        <v>-0.00612701469766795</v>
      </c>
      <c r="AK67" s="2">
        <f t="shared" ref="AK67:AK130" si="82">1.5*(F67-E67)/(F67+D67+0.5)</f>
        <v>-0.0036444951316088</v>
      </c>
      <c r="AL67" s="2">
        <f t="shared" ref="AL67:AL130" si="83">1.16*(F67-E67)/(F67+E67+0.16)</f>
        <v>-0.00381919460882737</v>
      </c>
      <c r="AM67" s="1">
        <f t="shared" ref="AM67:AM130" si="84">F67/D67</f>
        <v>1.69844545915325</v>
      </c>
      <c r="AN67" s="1">
        <f t="shared" ref="AN67:AN130" si="85">E67-D67</f>
        <v>0.1049426250327</v>
      </c>
      <c r="AO67" s="1">
        <f t="shared" ref="AO67:AO130" si="86">(E67-D67)/(E67+D67)</f>
        <v>0.262878950175025</v>
      </c>
      <c r="AP67" s="1">
        <f t="shared" ref="AP67:AP130" si="87">E67/D67</f>
        <v>1.71325856245034</v>
      </c>
      <c r="AQ67" s="1">
        <f t="shared" ref="AQ67:AQ130" si="88">E67-C67</f>
        <v>0.0619426069847</v>
      </c>
      <c r="AR67" s="1">
        <f t="shared" ref="AR67:AR130" si="89">(E67-C67)/(E67+C67)</f>
        <v>0.140076630712875</v>
      </c>
      <c r="AS67" s="1">
        <f t="shared" ref="AS67:AS130" si="90">(F67-E67)/(E67-D67)</f>
        <v>-0.0207682095623286</v>
      </c>
      <c r="AT67" s="1">
        <f t="shared" ref="AT67:AT130" si="91">C67/(F67+E67+C67)</f>
        <v>0.274716648741595</v>
      </c>
      <c r="AU67" s="2">
        <f t="shared" ref="AU67:AU130" si="92">E67/(F67+E67+C67)</f>
        <v>0.36421621098365</v>
      </c>
      <c r="AV67" s="2">
        <f t="shared" ref="AV67:AV130" si="93">D67/(F67+E67+D67)</f>
        <v>0.226669784532942</v>
      </c>
      <c r="AW67" s="2">
        <f t="shared" ref="AW67:AW130" si="94">F67/(F67+E67+D67)</f>
        <v>0.384986266267221</v>
      </c>
      <c r="AX67" s="2">
        <f t="shared" ref="AX67:AX130" si="95">F67-2*E67+C67</f>
        <v>-0.0641220774134</v>
      </c>
      <c r="AY67" s="11">
        <f t="shared" ref="AY67:AY130" si="96">(F67-D67)/(F67-C67)</f>
        <v>1.71950738408296</v>
      </c>
      <c r="AZ67" s="2">
        <f t="shared" ref="AZ67:AZ130" si="97">2.5*(F67-E67)/(F67+6*E67-7.5*C67+1)</f>
        <v>-0.00407727261147395</v>
      </c>
      <c r="BA67" s="1">
        <f t="shared" ref="BA67:BA130" si="98">(F67-(E67-2*C67))/(F67+(E67-2*C67))</f>
        <v>3.1065343174282</v>
      </c>
      <c r="BB67" s="2">
        <f t="shared" ref="BB67:BB130" si="99">(F67-E67-0.2*(F67-C67))*F67/E67</f>
        <v>-0.0140099093976299</v>
      </c>
      <c r="BC67" s="1">
        <f t="shared" ref="BC67:BC130" si="100">1.5*(2.5*F67-E67)-1.3*(F67-E67)/POWER(POWER((2*F67+1),2)-(6*F67-5*POWER(E67,0.5))-0.5,0.5)</f>
        <v>0.560698554027929</v>
      </c>
      <c r="BD67" s="1">
        <f t="shared" ref="BD67:BD130" si="101">3*(F67-E67-0.2*(F67-D67)*F67/E67)</f>
        <v>-0.067663200199152</v>
      </c>
      <c r="BE67" s="2">
        <f t="shared" ref="BE67:BE130" si="102">1.2*(1.2*(F67-C67)-2.5*(E67-C67))</f>
        <v>-0.09976890431346</v>
      </c>
      <c r="BF67" s="1">
        <f t="shared" ref="BF67:BF130" si="103">(F67-E67)/(F67+E67)/((F67-C67)/(F67+C67))</f>
        <v>-0.0319682851306011</v>
      </c>
    </row>
    <row r="68" s="3" customFormat="1" spans="1:58">
      <c r="A68" s="8">
        <v>177.5</v>
      </c>
      <c r="B68" s="9">
        <v>0.119096749986</v>
      </c>
      <c r="C68" s="9">
        <v>0.170355294525</v>
      </c>
      <c r="D68" s="6">
        <v>0.114365326244</v>
      </c>
      <c r="E68" s="10">
        <v>0.21865263276888</v>
      </c>
      <c r="F68" s="9">
        <v>0.257414816216</v>
      </c>
      <c r="G68" s="1">
        <f t="shared" si="52"/>
        <v>1.51104676220218</v>
      </c>
      <c r="H68" s="1">
        <f t="shared" si="53"/>
        <v>0.087059521691</v>
      </c>
      <c r="I68" s="1">
        <f t="shared" si="54"/>
        <v>0.203519412658804</v>
      </c>
      <c r="J68" s="1">
        <f t="shared" si="55"/>
        <v>-0.693013323837943</v>
      </c>
      <c r="K68" s="1">
        <f t="shared" si="56"/>
        <v>0.51104676220218</v>
      </c>
      <c r="L68" s="1">
        <f t="shared" si="57"/>
        <v>0.322502615314312</v>
      </c>
      <c r="M68" s="1">
        <f t="shared" si="58"/>
        <v>0.140756078499015</v>
      </c>
      <c r="N68" s="1">
        <f t="shared" si="59"/>
        <v>0.125308685537364</v>
      </c>
      <c r="O68" s="1">
        <f t="shared" si="60"/>
        <v>0.17181725187462</v>
      </c>
      <c r="P68" s="1">
        <f t="shared" si="61"/>
        <v>0.133110115021018</v>
      </c>
      <c r="Q68" s="2">
        <f t="shared" si="62"/>
        <v>0.384769043944811</v>
      </c>
      <c r="R68" s="1">
        <f t="shared" si="63"/>
        <v>2.25081171601611</v>
      </c>
      <c r="S68" s="2">
        <f t="shared" si="64"/>
        <v>0.312041377851941</v>
      </c>
      <c r="T68" s="1">
        <f t="shared" si="65"/>
        <v>-0.574682375284633</v>
      </c>
      <c r="U68" s="1">
        <f t="shared" si="66"/>
        <v>0.246133428036697</v>
      </c>
      <c r="V68" s="2">
        <f t="shared" si="67"/>
        <v>0.221151612295092</v>
      </c>
      <c r="W68" s="2">
        <f t="shared" si="68"/>
        <v>0.143049489972</v>
      </c>
      <c r="X68" s="1">
        <f t="shared" si="69"/>
        <v>0.234608217020034</v>
      </c>
      <c r="Y68" s="2">
        <f t="shared" si="70"/>
        <v>0.940621626343351</v>
      </c>
      <c r="Z68" s="1">
        <f t="shared" si="71"/>
        <v>0.500270547606701</v>
      </c>
      <c r="AA68" s="1">
        <f t="shared" si="72"/>
        <v>2.73950292502991</v>
      </c>
      <c r="AB68" s="1">
        <f t="shared" si="73"/>
        <v>0.18589007123</v>
      </c>
      <c r="AC68" s="2">
        <f t="shared" si="74"/>
        <v>1.17727746040036</v>
      </c>
      <c r="AD68" s="2">
        <f t="shared" si="75"/>
        <v>0.03876218344712</v>
      </c>
      <c r="AE68" s="1">
        <f t="shared" si="76"/>
        <v>0.0814216210954408</v>
      </c>
      <c r="AF68" s="2">
        <f t="shared" si="77"/>
        <v>0.056178997974896</v>
      </c>
      <c r="AG68" s="7">
        <f t="shared" si="78"/>
        <v>0.0595689111763225</v>
      </c>
      <c r="AH68" s="1">
        <f t="shared" si="79"/>
        <v>16.320453575639</v>
      </c>
      <c r="AI68" s="1">
        <f t="shared" si="80"/>
        <v>0.177277460400362</v>
      </c>
      <c r="AJ68" s="1">
        <f t="shared" si="81"/>
        <v>0.120142491273821</v>
      </c>
      <c r="AK68" s="2">
        <f t="shared" si="82"/>
        <v>0.0666948836510666</v>
      </c>
      <c r="AL68" s="2">
        <f t="shared" si="83"/>
        <v>0.0706908251167684</v>
      </c>
      <c r="AM68" s="1">
        <f t="shared" si="84"/>
        <v>2.25081171601611</v>
      </c>
      <c r="AN68" s="1">
        <f t="shared" si="85"/>
        <v>0.10428730652488</v>
      </c>
      <c r="AO68" s="1">
        <f t="shared" si="86"/>
        <v>0.313158205743632</v>
      </c>
      <c r="AP68" s="1">
        <f t="shared" si="87"/>
        <v>1.91187871315456</v>
      </c>
      <c r="AQ68" s="1">
        <f t="shared" si="88"/>
        <v>0.04829733824388</v>
      </c>
      <c r="AR68" s="1">
        <f t="shared" si="89"/>
        <v>0.1241551517468</v>
      </c>
      <c r="AS68" s="1">
        <f t="shared" si="90"/>
        <v>0.371686495114076</v>
      </c>
      <c r="AT68" s="1">
        <f t="shared" si="91"/>
        <v>0.263535428224605</v>
      </c>
      <c r="AU68" s="2">
        <f t="shared" si="92"/>
        <v>0.338250216231042</v>
      </c>
      <c r="AV68" s="2">
        <f t="shared" si="93"/>
        <v>0.193697455564974</v>
      </c>
      <c r="AW68" s="2">
        <f t="shared" si="94"/>
        <v>0.435976502348153</v>
      </c>
      <c r="AX68" s="2">
        <f t="shared" si="95"/>
        <v>-0.00953515479676001</v>
      </c>
      <c r="AY68" s="11">
        <f t="shared" si="96"/>
        <v>1.64312285656387</v>
      </c>
      <c r="AZ68" s="2">
        <f t="shared" si="97"/>
        <v>0.0750236251694997</v>
      </c>
      <c r="BA68" s="1">
        <f t="shared" si="98"/>
        <v>2.80349863819007</v>
      </c>
      <c r="BB68" s="2">
        <f t="shared" si="99"/>
        <v>0.0251352023681882</v>
      </c>
      <c r="BC68" s="1">
        <f t="shared" si="100"/>
        <v>0.606004595534994</v>
      </c>
      <c r="BD68" s="1">
        <f t="shared" si="101"/>
        <v>0.015241186181878</v>
      </c>
      <c r="BE68" s="2">
        <f t="shared" si="102"/>
        <v>-0.0195263034966</v>
      </c>
      <c r="BF68" s="1">
        <f t="shared" si="103"/>
        <v>0.400068082114321</v>
      </c>
    </row>
    <row r="69" s="3" customFormat="1" spans="1:58">
      <c r="A69" s="8">
        <v>190</v>
      </c>
      <c r="B69" s="9">
        <v>0.106031463052</v>
      </c>
      <c r="C69" s="9">
        <v>0.152020422384</v>
      </c>
      <c r="D69" s="6">
        <v>0.0942719827231</v>
      </c>
      <c r="E69" s="10">
        <v>0.198157422377562</v>
      </c>
      <c r="F69" s="9">
        <v>0.268330871408</v>
      </c>
      <c r="G69" s="1">
        <f t="shared" si="52"/>
        <v>1.76509752571403</v>
      </c>
      <c r="H69" s="1">
        <f t="shared" si="53"/>
        <v>0.116310449024</v>
      </c>
      <c r="I69" s="1">
        <f t="shared" si="54"/>
        <v>0.276698206337752</v>
      </c>
      <c r="J69" s="1">
        <f t="shared" si="55"/>
        <v>-0.650421426783816</v>
      </c>
      <c r="K69" s="1">
        <f t="shared" si="56"/>
        <v>0.765097525714029</v>
      </c>
      <c r="L69" s="1">
        <f t="shared" si="57"/>
        <v>0.460109892350213</v>
      </c>
      <c r="M69" s="1">
        <f t="shared" si="58"/>
        <v>0.189564218264064</v>
      </c>
      <c r="N69" s="1">
        <f t="shared" si="59"/>
        <v>0.170241053813204</v>
      </c>
      <c r="O69" s="1">
        <f t="shared" si="60"/>
        <v>0.232480089750943</v>
      </c>
      <c r="P69" s="1">
        <f t="shared" si="61"/>
        <v>0.179395910274675</v>
      </c>
      <c r="Q69" s="2">
        <f t="shared" si="62"/>
        <v>0.480026251039846</v>
      </c>
      <c r="R69" s="1">
        <f t="shared" si="63"/>
        <v>2.8463480204522</v>
      </c>
      <c r="S69" s="2">
        <f t="shared" si="64"/>
        <v>0.386351335968466</v>
      </c>
      <c r="T69" s="1">
        <f t="shared" si="65"/>
        <v>-0.490799794667063</v>
      </c>
      <c r="U69" s="1">
        <f t="shared" si="66"/>
        <v>0.302675016407573</v>
      </c>
      <c r="V69" s="2">
        <f t="shared" si="67"/>
        <v>0.276177896623963</v>
      </c>
      <c r="W69" s="2">
        <f t="shared" si="68"/>
        <v>0.1740588886849</v>
      </c>
      <c r="X69" s="1">
        <f t="shared" si="69"/>
        <v>0.289055073983444</v>
      </c>
      <c r="Y69" s="2">
        <f t="shared" si="70"/>
        <v>0.989962752349726</v>
      </c>
      <c r="Z69" s="1">
        <f t="shared" si="71"/>
        <v>0.687112331900933</v>
      </c>
      <c r="AA69" s="1">
        <f t="shared" si="72"/>
        <v>2.85592894975295</v>
      </c>
      <c r="AB69" s="1">
        <f t="shared" si="73"/>
        <v>0.18130142706555</v>
      </c>
      <c r="AC69" s="2">
        <f t="shared" si="74"/>
        <v>1.35412980340818</v>
      </c>
      <c r="AD69" s="2">
        <f t="shared" si="75"/>
        <v>0.070173449030438</v>
      </c>
      <c r="AE69" s="1">
        <f t="shared" si="76"/>
        <v>0.150429174676558</v>
      </c>
      <c r="AF69" s="2">
        <f t="shared" si="77"/>
        <v>0.102743048533009</v>
      </c>
      <c r="AG69" s="7">
        <f t="shared" si="78"/>
        <v>0.108909931162613</v>
      </c>
      <c r="AH69" s="1">
        <f t="shared" si="79"/>
        <v>30.3159036518645</v>
      </c>
      <c r="AI69" s="1">
        <f t="shared" si="80"/>
        <v>0.354129803408181</v>
      </c>
      <c r="AJ69" s="1">
        <f t="shared" si="81"/>
        <v>0.230806096225954</v>
      </c>
      <c r="AK69" s="2">
        <f t="shared" si="82"/>
        <v>0.122026229152332</v>
      </c>
      <c r="AL69" s="2">
        <f t="shared" si="83"/>
        <v>0.129932516988371</v>
      </c>
      <c r="AM69" s="1">
        <f t="shared" si="84"/>
        <v>2.8463480204522</v>
      </c>
      <c r="AN69" s="1">
        <f t="shared" si="85"/>
        <v>0.103885439654462</v>
      </c>
      <c r="AO69" s="1">
        <f t="shared" si="86"/>
        <v>0.355249635783727</v>
      </c>
      <c r="AP69" s="1">
        <f t="shared" si="87"/>
        <v>2.10197575837138</v>
      </c>
      <c r="AQ69" s="1">
        <f t="shared" si="88"/>
        <v>0.046136999993562</v>
      </c>
      <c r="AR69" s="1">
        <f t="shared" si="89"/>
        <v>0.131753052580973</v>
      </c>
      <c r="AS69" s="1">
        <f t="shared" si="90"/>
        <v>0.675488781333024</v>
      </c>
      <c r="AT69" s="1">
        <f t="shared" si="91"/>
        <v>0.245785416453734</v>
      </c>
      <c r="AU69" s="2">
        <f t="shared" si="92"/>
        <v>0.320379353107189</v>
      </c>
      <c r="AV69" s="2">
        <f t="shared" si="93"/>
        <v>0.168114587770098</v>
      </c>
      <c r="AW69" s="2">
        <f t="shared" si="94"/>
        <v>0.478512624108557</v>
      </c>
      <c r="AX69" s="2">
        <f t="shared" si="95"/>
        <v>0.024036449036876</v>
      </c>
      <c r="AY69" s="11">
        <f t="shared" si="96"/>
        <v>1.49650259409612</v>
      </c>
      <c r="AZ69" s="2">
        <f t="shared" si="97"/>
        <v>0.133194640210468</v>
      </c>
      <c r="BA69" s="1">
        <f t="shared" si="98"/>
        <v>2.30360215603005</v>
      </c>
      <c r="BB69" s="2">
        <f t="shared" si="99"/>
        <v>0.0635240696458237</v>
      </c>
      <c r="BC69" s="1">
        <f t="shared" si="100"/>
        <v>0.651042353536737</v>
      </c>
      <c r="BD69" s="1">
        <f t="shared" si="101"/>
        <v>0.0691013498615159</v>
      </c>
      <c r="BE69" s="2">
        <f t="shared" si="102"/>
        <v>0.0290760466138739</v>
      </c>
      <c r="BF69" s="1">
        <f t="shared" si="103"/>
        <v>0.543657932111553</v>
      </c>
    </row>
    <row r="70" s="3" customFormat="1" spans="1:58">
      <c r="A70" s="8">
        <v>191</v>
      </c>
      <c r="B70" s="9">
        <v>0.0969996863942</v>
      </c>
      <c r="C70" s="9">
        <v>0.138203584018</v>
      </c>
      <c r="D70" s="6">
        <v>0.0836243139238</v>
      </c>
      <c r="E70" s="10">
        <v>0.187296800202276</v>
      </c>
      <c r="F70" s="9">
        <v>0.251937596726</v>
      </c>
      <c r="G70" s="1">
        <f t="shared" si="52"/>
        <v>1.82294546495398</v>
      </c>
      <c r="H70" s="1">
        <f t="shared" si="53"/>
        <v>0.113734012708</v>
      </c>
      <c r="I70" s="1">
        <f t="shared" si="54"/>
        <v>0.291520142762446</v>
      </c>
      <c r="J70" s="1">
        <f t="shared" si="55"/>
        <v>-0.64102098787178</v>
      </c>
      <c r="K70" s="1">
        <f t="shared" si="56"/>
        <v>0.822945464953984</v>
      </c>
      <c r="L70" s="1">
        <f t="shared" si="57"/>
        <v>0.489801163156125</v>
      </c>
      <c r="M70" s="1">
        <f t="shared" si="58"/>
        <v>0.191656135849605</v>
      </c>
      <c r="N70" s="1">
        <f t="shared" si="59"/>
        <v>0.170609699619666</v>
      </c>
      <c r="O70" s="1">
        <f t="shared" si="60"/>
        <v>0.239813813906566</v>
      </c>
      <c r="P70" s="1">
        <f t="shared" si="61"/>
        <v>0.182087219819464</v>
      </c>
      <c r="Q70" s="2">
        <f t="shared" si="62"/>
        <v>0.501586376344887</v>
      </c>
      <c r="R70" s="1">
        <f t="shared" si="63"/>
        <v>3.01273140435651</v>
      </c>
      <c r="S70" s="2">
        <f t="shared" si="64"/>
        <v>0.393983887491557</v>
      </c>
      <c r="T70" s="1">
        <f t="shared" si="65"/>
        <v>-0.468938090164655</v>
      </c>
      <c r="U70" s="1">
        <f t="shared" si="66"/>
        <v>0.302155855820377</v>
      </c>
      <c r="V70" s="2">
        <f t="shared" si="67"/>
        <v>0.273624327240747</v>
      </c>
      <c r="W70" s="2">
        <f t="shared" si="68"/>
        <v>0.1683132828022</v>
      </c>
      <c r="X70" s="1">
        <f t="shared" si="69"/>
        <v>0.290557480735685</v>
      </c>
      <c r="Y70" s="2">
        <f t="shared" si="70"/>
        <v>1.00079287384797</v>
      </c>
      <c r="Z70" s="1">
        <f t="shared" si="71"/>
        <v>0.73572215643994</v>
      </c>
      <c r="AA70" s="1">
        <f t="shared" si="72"/>
        <v>2.88973939361036</v>
      </c>
      <c r="AB70" s="1">
        <f t="shared" si="73"/>
        <v>0.1677809553249</v>
      </c>
      <c r="AC70" s="2">
        <f t="shared" si="74"/>
        <v>1.34512493782015</v>
      </c>
      <c r="AD70" s="2">
        <f t="shared" si="75"/>
        <v>0.064640796523724</v>
      </c>
      <c r="AE70" s="1">
        <f t="shared" si="76"/>
        <v>0.147166972750268</v>
      </c>
      <c r="AF70" s="2">
        <f t="shared" si="77"/>
        <v>0.0975345597240409</v>
      </c>
      <c r="AG70" s="7">
        <f t="shared" si="78"/>
        <v>0.103234288589401</v>
      </c>
      <c r="AH70" s="1">
        <f t="shared" si="79"/>
        <v>29.6486899312344</v>
      </c>
      <c r="AI70" s="1">
        <f t="shared" si="80"/>
        <v>0.345124937820152</v>
      </c>
      <c r="AJ70" s="1">
        <f t="shared" si="81"/>
        <v>0.225368569946247</v>
      </c>
      <c r="AK70" s="2">
        <f t="shared" si="82"/>
        <v>0.11604310051685</v>
      </c>
      <c r="AL70" s="2">
        <f t="shared" si="83"/>
        <v>0.125131875526322</v>
      </c>
      <c r="AM70" s="1">
        <f t="shared" si="84"/>
        <v>3.01273140435651</v>
      </c>
      <c r="AN70" s="1">
        <f t="shared" si="85"/>
        <v>0.103672486278476</v>
      </c>
      <c r="AO70" s="1">
        <f t="shared" si="86"/>
        <v>0.382666691051001</v>
      </c>
      <c r="AP70" s="1">
        <f t="shared" si="87"/>
        <v>2.23974094870236</v>
      </c>
      <c r="AQ70" s="1">
        <f t="shared" si="88"/>
        <v>0.049093216184276</v>
      </c>
      <c r="AR70" s="1">
        <f t="shared" si="89"/>
        <v>0.150823834822429</v>
      </c>
      <c r="AS70" s="1">
        <f t="shared" si="90"/>
        <v>0.623509658580884</v>
      </c>
      <c r="AT70" s="1">
        <f t="shared" si="91"/>
        <v>0.239339268593865</v>
      </c>
      <c r="AU70" s="2">
        <f t="shared" si="92"/>
        <v>0.324358297137545</v>
      </c>
      <c r="AV70" s="2">
        <f t="shared" si="93"/>
        <v>0.159936732788714</v>
      </c>
      <c r="AW70" s="2">
        <f t="shared" si="94"/>
        <v>0.481846417582735</v>
      </c>
      <c r="AX70" s="2">
        <f t="shared" si="95"/>
        <v>0.015547580339448</v>
      </c>
      <c r="AY70" s="11">
        <f t="shared" si="96"/>
        <v>1.47988520579439</v>
      </c>
      <c r="AZ70" s="2">
        <f t="shared" si="97"/>
        <v>0.120671307397634</v>
      </c>
      <c r="BA70" s="1">
        <f t="shared" si="98"/>
        <v>2.09453889794658</v>
      </c>
      <c r="BB70" s="2">
        <f t="shared" si="99"/>
        <v>0.0563526560502424</v>
      </c>
      <c r="BC70" s="1">
        <f t="shared" si="100"/>
        <v>0.609734152573774</v>
      </c>
      <c r="BD70" s="1">
        <f t="shared" si="101"/>
        <v>0.058080953133003</v>
      </c>
      <c r="BE70" s="2">
        <f t="shared" si="102"/>
        <v>0.016497329746692</v>
      </c>
      <c r="BF70" s="1">
        <f t="shared" si="103"/>
        <v>0.504826086306467</v>
      </c>
    </row>
    <row r="71" s="3" customFormat="1" spans="1:58">
      <c r="A71" s="8">
        <v>180.5</v>
      </c>
      <c r="B71" s="9">
        <v>0.12675396118</v>
      </c>
      <c r="C71" s="9">
        <v>0.166375602798</v>
      </c>
      <c r="D71" s="6">
        <v>0.117367218498</v>
      </c>
      <c r="E71" s="10">
        <v>0.22171456286796</v>
      </c>
      <c r="F71" s="9">
        <v>0.236655449039</v>
      </c>
      <c r="G71" s="1">
        <f t="shared" si="52"/>
        <v>1.42241677901734</v>
      </c>
      <c r="H71" s="1">
        <f t="shared" si="53"/>
        <v>0.070279846241</v>
      </c>
      <c r="I71" s="1">
        <f t="shared" si="54"/>
        <v>0.174378241876568</v>
      </c>
      <c r="J71" s="1">
        <f t="shared" si="55"/>
        <v>-0.708394175202053</v>
      </c>
      <c r="K71" s="1">
        <f t="shared" si="56"/>
        <v>0.422416779017343</v>
      </c>
      <c r="L71" s="1">
        <f t="shared" si="57"/>
        <v>0.271404302221256</v>
      </c>
      <c r="M71" s="1">
        <f t="shared" si="58"/>
        <v>0.116739916248781</v>
      </c>
      <c r="N71" s="1">
        <f t="shared" si="59"/>
        <v>0.102540665961953</v>
      </c>
      <c r="O71" s="1">
        <f t="shared" si="60"/>
        <v>0.144795959962723</v>
      </c>
      <c r="P71" s="1">
        <f t="shared" si="61"/>
        <v>0.110703550199897</v>
      </c>
      <c r="Q71" s="2">
        <f t="shared" si="62"/>
        <v>0.336950826823915</v>
      </c>
      <c r="R71" s="1">
        <f t="shared" si="63"/>
        <v>2.01636753488397</v>
      </c>
      <c r="S71" s="2">
        <f t="shared" si="64"/>
        <v>0.269198920916459</v>
      </c>
      <c r="T71" s="1">
        <f t="shared" si="65"/>
        <v>-0.610352499930507</v>
      </c>
      <c r="U71" s="1">
        <f t="shared" si="66"/>
        <v>0.209517092008273</v>
      </c>
      <c r="V71" s="2">
        <f t="shared" si="67"/>
        <v>0.185216613340198</v>
      </c>
      <c r="W71" s="2">
        <f t="shared" si="68"/>
        <v>0.119288230541</v>
      </c>
      <c r="X71" s="1">
        <f t="shared" si="69"/>
        <v>0.200485081517682</v>
      </c>
      <c r="Y71" s="2">
        <f t="shared" si="70"/>
        <v>0.914850166324472</v>
      </c>
      <c r="Z71" s="1">
        <f t="shared" si="71"/>
        <v>0.419988568575101</v>
      </c>
      <c r="AA71" s="1">
        <f t="shared" si="72"/>
        <v>2.69879605719092</v>
      </c>
      <c r="AB71" s="1">
        <f t="shared" si="73"/>
        <v>0.1770113337685</v>
      </c>
      <c r="AC71" s="2">
        <f t="shared" si="74"/>
        <v>1.06738793328582</v>
      </c>
      <c r="AD71" s="2">
        <f t="shared" si="75"/>
        <v>0.01494088617104</v>
      </c>
      <c r="AE71" s="1">
        <f t="shared" si="76"/>
        <v>0.0325956885985654</v>
      </c>
      <c r="AF71" s="2">
        <f t="shared" si="77"/>
        <v>0.0220682684644226</v>
      </c>
      <c r="AG71" s="7">
        <f t="shared" si="78"/>
        <v>0.0233848398615541</v>
      </c>
      <c r="AH71" s="1">
        <f t="shared" si="79"/>
        <v>6.52144800812917</v>
      </c>
      <c r="AI71" s="1">
        <f t="shared" si="80"/>
        <v>0.067387933285816</v>
      </c>
      <c r="AJ71" s="1">
        <f t="shared" si="81"/>
        <v>0.0468674310015533</v>
      </c>
      <c r="AK71" s="2">
        <f t="shared" si="82"/>
        <v>0.0262420777673199</v>
      </c>
      <c r="AL71" s="2">
        <f t="shared" si="83"/>
        <v>0.028027600990803</v>
      </c>
      <c r="AM71" s="1">
        <f t="shared" si="84"/>
        <v>2.01636753488397</v>
      </c>
      <c r="AN71" s="1">
        <f t="shared" si="85"/>
        <v>0.10434734436996</v>
      </c>
      <c r="AO71" s="1">
        <f t="shared" si="86"/>
        <v>0.307735036514219</v>
      </c>
      <c r="AP71" s="1">
        <f t="shared" si="87"/>
        <v>1.88906720041029</v>
      </c>
      <c r="AQ71" s="1">
        <f t="shared" si="88"/>
        <v>0.05533896006996</v>
      </c>
      <c r="AR71" s="1">
        <f t="shared" si="89"/>
        <v>0.142593049156499</v>
      </c>
      <c r="AS71" s="1">
        <f t="shared" si="90"/>
        <v>0.143184153475603</v>
      </c>
      <c r="AT71" s="1">
        <f t="shared" si="91"/>
        <v>0.266309356771671</v>
      </c>
      <c r="AU71" s="2">
        <f t="shared" si="92"/>
        <v>0.354887745746989</v>
      </c>
      <c r="AV71" s="2">
        <f t="shared" si="93"/>
        <v>0.203855530439549</v>
      </c>
      <c r="AW71" s="2">
        <f t="shared" si="94"/>
        <v>0.411047673384857</v>
      </c>
      <c r="AX71" s="2">
        <f t="shared" si="95"/>
        <v>-0.04039807389892</v>
      </c>
      <c r="AY71" s="11">
        <f t="shared" si="96"/>
        <v>1.69733197952572</v>
      </c>
      <c r="AZ71" s="2">
        <f t="shared" si="97"/>
        <v>0.0283158856256231</v>
      </c>
      <c r="BA71" s="1">
        <f t="shared" si="98"/>
        <v>2.76783470546881</v>
      </c>
      <c r="BB71" s="2">
        <f t="shared" si="99"/>
        <v>0.000944549645399808</v>
      </c>
      <c r="BC71" s="1">
        <f t="shared" si="100"/>
        <v>0.542852022754209</v>
      </c>
      <c r="BD71" s="1">
        <f t="shared" si="101"/>
        <v>-0.0315734322043681</v>
      </c>
      <c r="BE71" s="2">
        <f t="shared" si="102"/>
        <v>-0.06481390162284</v>
      </c>
      <c r="BF71" s="1">
        <f t="shared" si="103"/>
        <v>0.186925204932608</v>
      </c>
    </row>
    <row r="72" s="3" customFormat="1" spans="1:58">
      <c r="A72" s="8">
        <v>175</v>
      </c>
      <c r="B72" s="9">
        <v>0.102812304133</v>
      </c>
      <c r="C72" s="9">
        <v>0.141239454684</v>
      </c>
      <c r="D72" s="6">
        <v>0.0909577319855</v>
      </c>
      <c r="E72" s="10">
        <v>0.19477688662521</v>
      </c>
      <c r="F72" s="9">
        <v>0.224269004836</v>
      </c>
      <c r="G72" s="1">
        <f t="shared" si="52"/>
        <v>1.58786371228751</v>
      </c>
      <c r="H72" s="1">
        <f t="shared" si="53"/>
        <v>0.083029550152</v>
      </c>
      <c r="I72" s="1">
        <f t="shared" si="54"/>
        <v>0.227161774206369</v>
      </c>
      <c r="J72" s="1">
        <f t="shared" si="55"/>
        <v>-0.679904812899894</v>
      </c>
      <c r="K72" s="1">
        <f t="shared" si="56"/>
        <v>0.587863712287511</v>
      </c>
      <c r="L72" s="1">
        <f t="shared" si="57"/>
        <v>0.36543147630544</v>
      </c>
      <c r="M72" s="1">
        <f t="shared" si="58"/>
        <v>0.143897293964141</v>
      </c>
      <c r="N72" s="1">
        <f t="shared" si="59"/>
        <v>0.125514889140642</v>
      </c>
      <c r="O72" s="1">
        <f t="shared" si="60"/>
        <v>0.183278263996537</v>
      </c>
      <c r="P72" s="1">
        <f t="shared" si="61"/>
        <v>0.137335865396061</v>
      </c>
      <c r="Q72" s="2">
        <f t="shared" si="62"/>
        <v>0.42290598251502</v>
      </c>
      <c r="R72" s="1">
        <f t="shared" si="63"/>
        <v>2.46563980807868</v>
      </c>
      <c r="S72" s="2">
        <f t="shared" si="64"/>
        <v>0.32540483210368</v>
      </c>
      <c r="T72" s="1">
        <f t="shared" si="65"/>
        <v>-0.543356618117066</v>
      </c>
      <c r="U72" s="1">
        <f t="shared" si="66"/>
        <v>0.245289930081788</v>
      </c>
      <c r="V72" s="2">
        <f t="shared" si="67"/>
        <v>0.216388068331065</v>
      </c>
      <c r="W72" s="2">
        <f t="shared" si="68"/>
        <v>0.1333112728505</v>
      </c>
      <c r="X72" s="1">
        <f t="shared" si="69"/>
        <v>0.237440802780753</v>
      </c>
      <c r="Y72" s="2">
        <f t="shared" si="70"/>
        <v>0.960679958422689</v>
      </c>
      <c r="Z72" s="1">
        <f t="shared" si="71"/>
        <v>0.570235589992367</v>
      </c>
      <c r="AA72" s="1">
        <f t="shared" si="72"/>
        <v>2.81524777338705</v>
      </c>
      <c r="AB72" s="1">
        <f t="shared" si="73"/>
        <v>0.15761336841075</v>
      </c>
      <c r="AC72" s="2">
        <f t="shared" si="74"/>
        <v>1.15141487638386</v>
      </c>
      <c r="AD72" s="2">
        <f t="shared" si="75"/>
        <v>0.02949211821079</v>
      </c>
      <c r="AE72" s="1">
        <f t="shared" si="76"/>
        <v>0.0703792086063681</v>
      </c>
      <c r="AF72" s="2">
        <f t="shared" si="77"/>
        <v>0.0455591038081398</v>
      </c>
      <c r="AG72" s="7">
        <f t="shared" si="78"/>
        <v>0.0481348948155895</v>
      </c>
      <c r="AH72" s="1">
        <f t="shared" si="79"/>
        <v>14.0991513433067</v>
      </c>
      <c r="AI72" s="1">
        <f t="shared" si="80"/>
        <v>0.151414876383864</v>
      </c>
      <c r="AJ72" s="1">
        <f t="shared" si="81"/>
        <v>0.103230127245525</v>
      </c>
      <c r="AK72" s="2">
        <f t="shared" si="82"/>
        <v>0.0542648754243095</v>
      </c>
      <c r="AL72" s="2">
        <f t="shared" si="83"/>
        <v>0.0590814262375406</v>
      </c>
      <c r="AM72" s="1">
        <f t="shared" si="84"/>
        <v>2.46563980807868</v>
      </c>
      <c r="AN72" s="1">
        <f t="shared" si="85"/>
        <v>0.10381915463971</v>
      </c>
      <c r="AO72" s="1">
        <f t="shared" si="86"/>
        <v>0.363341184013671</v>
      </c>
      <c r="AP72" s="1">
        <f t="shared" si="87"/>
        <v>2.14139999286988</v>
      </c>
      <c r="AQ72" s="1">
        <f t="shared" si="88"/>
        <v>0.05353743194121</v>
      </c>
      <c r="AR72" s="1">
        <f t="shared" si="89"/>
        <v>0.159329846080145</v>
      </c>
      <c r="AS72" s="1">
        <f t="shared" si="90"/>
        <v>0.284072031920683</v>
      </c>
      <c r="AT72" s="1">
        <f t="shared" si="91"/>
        <v>0.252084862928746</v>
      </c>
      <c r="AU72" s="2">
        <f t="shared" si="92"/>
        <v>0.347638730809728</v>
      </c>
      <c r="AV72" s="2">
        <f t="shared" si="93"/>
        <v>0.178347226968289</v>
      </c>
      <c r="AW72" s="2">
        <f t="shared" si="94"/>
        <v>0.439740022473456</v>
      </c>
      <c r="AX72" s="2">
        <f t="shared" si="95"/>
        <v>-0.02404531373042</v>
      </c>
      <c r="AY72" s="11">
        <f t="shared" si="96"/>
        <v>1.60558828280354</v>
      </c>
      <c r="AZ72" s="2">
        <f t="shared" si="97"/>
        <v>0.0552852376391176</v>
      </c>
      <c r="BA72" s="1">
        <f t="shared" si="98"/>
        <v>2.28438106193093</v>
      </c>
      <c r="BB72" s="2">
        <f t="shared" si="99"/>
        <v>0.0148373717990805</v>
      </c>
      <c r="BC72" s="1">
        <f t="shared" si="100"/>
        <v>0.5243955500109</v>
      </c>
      <c r="BD72" s="1">
        <f t="shared" si="101"/>
        <v>-0.00362159501747038</v>
      </c>
      <c r="BE72" s="2">
        <f t="shared" si="102"/>
        <v>-0.04104974360475</v>
      </c>
      <c r="BF72" s="1">
        <f t="shared" si="103"/>
        <v>0.309819769863353</v>
      </c>
    </row>
    <row r="73" s="3" customFormat="1" spans="1:58">
      <c r="A73" s="8">
        <v>181</v>
      </c>
      <c r="B73" s="9">
        <v>0.108514616415</v>
      </c>
      <c r="C73" s="9">
        <v>0.145483466243</v>
      </c>
      <c r="D73" s="6">
        <v>0.0972447474163</v>
      </c>
      <c r="E73" s="10">
        <v>0.201189642364626</v>
      </c>
      <c r="F73" s="9">
        <v>0.226170757602</v>
      </c>
      <c r="G73" s="1">
        <f t="shared" si="52"/>
        <v>1.55461485378846</v>
      </c>
      <c r="H73" s="1">
        <f t="shared" si="53"/>
        <v>0.080687291359</v>
      </c>
      <c r="I73" s="1">
        <f t="shared" si="54"/>
        <v>0.21710311946475</v>
      </c>
      <c r="J73" s="1">
        <f t="shared" si="55"/>
        <v>-0.685553600328688</v>
      </c>
      <c r="K73" s="1">
        <f t="shared" si="56"/>
        <v>0.554614853788462</v>
      </c>
      <c r="L73" s="1">
        <f t="shared" si="57"/>
        <v>0.346999445041287</v>
      </c>
      <c r="M73" s="1">
        <f t="shared" si="58"/>
        <v>0.138852005448461</v>
      </c>
      <c r="N73" s="1">
        <f t="shared" si="59"/>
        <v>0.121233251343492</v>
      </c>
      <c r="O73" s="1">
        <f t="shared" si="60"/>
        <v>0.176049119481326</v>
      </c>
      <c r="P73" s="1">
        <f t="shared" si="61"/>
        <v>0.132353551728694</v>
      </c>
      <c r="Q73" s="2">
        <f t="shared" si="62"/>
        <v>0.398638927896808</v>
      </c>
      <c r="R73" s="1">
        <f t="shared" si="63"/>
        <v>2.32578893576405</v>
      </c>
      <c r="S73" s="2">
        <f t="shared" si="64"/>
        <v>0.309369828362767</v>
      </c>
      <c r="T73" s="1">
        <f t="shared" si="65"/>
        <v>-0.563605918564813</v>
      </c>
      <c r="U73" s="1">
        <f t="shared" si="66"/>
        <v>0.234862003569209</v>
      </c>
      <c r="V73" s="2">
        <f t="shared" si="67"/>
        <v>0.207063881491827</v>
      </c>
      <c r="W73" s="2">
        <f t="shared" si="68"/>
        <v>0.1289260101857</v>
      </c>
      <c r="X73" s="1">
        <f t="shared" si="69"/>
        <v>0.226704491526834</v>
      </c>
      <c r="Y73" s="2">
        <f t="shared" si="70"/>
        <v>0.947965678649184</v>
      </c>
      <c r="Z73" s="1">
        <f t="shared" si="71"/>
        <v>0.525053748483655</v>
      </c>
      <c r="AA73" s="1">
        <f t="shared" si="72"/>
        <v>2.78517457501006</v>
      </c>
      <c r="AB73" s="1">
        <f t="shared" si="73"/>
        <v>0.16170775250915</v>
      </c>
      <c r="AC73" s="2">
        <f t="shared" si="74"/>
        <v>1.12416700454241</v>
      </c>
      <c r="AD73" s="2">
        <f t="shared" si="75"/>
        <v>0.024981115237374</v>
      </c>
      <c r="AE73" s="1">
        <f t="shared" si="76"/>
        <v>0.0584544455670784</v>
      </c>
      <c r="AF73" s="2">
        <f t="shared" si="77"/>
        <v>0.0382133123511688</v>
      </c>
      <c r="AG73" s="7">
        <f t="shared" si="78"/>
        <v>0.0404068071673209</v>
      </c>
      <c r="AH73" s="1">
        <f t="shared" si="79"/>
        <v>11.7042320988246</v>
      </c>
      <c r="AI73" s="1">
        <f t="shared" si="80"/>
        <v>0.124167004542408</v>
      </c>
      <c r="AJ73" s="1">
        <f t="shared" si="81"/>
        <v>0.0851945620814578</v>
      </c>
      <c r="AK73" s="2">
        <f t="shared" si="82"/>
        <v>0.0455076114400205</v>
      </c>
      <c r="AL73" s="2">
        <f t="shared" si="83"/>
        <v>0.0493361378754856</v>
      </c>
      <c r="AM73" s="1">
        <f t="shared" si="84"/>
        <v>2.32578893576405</v>
      </c>
      <c r="AN73" s="1">
        <f t="shared" si="85"/>
        <v>0.103944894948326</v>
      </c>
      <c r="AO73" s="1">
        <f t="shared" si="86"/>
        <v>0.34830066007014</v>
      </c>
      <c r="AP73" s="1">
        <f t="shared" si="87"/>
        <v>2.06889983994038</v>
      </c>
      <c r="AQ73" s="1">
        <f t="shared" si="88"/>
        <v>0.055706176121626</v>
      </c>
      <c r="AR73" s="1">
        <f t="shared" si="89"/>
        <v>0.160687906671976</v>
      </c>
      <c r="AS73" s="1">
        <f t="shared" si="90"/>
        <v>0.240330371681965</v>
      </c>
      <c r="AT73" s="1">
        <f t="shared" si="91"/>
        <v>0.253967049006966</v>
      </c>
      <c r="AU73" s="2">
        <f t="shared" si="92"/>
        <v>0.351212004233982</v>
      </c>
      <c r="AV73" s="2">
        <f t="shared" si="93"/>
        <v>0.185367505258804</v>
      </c>
      <c r="AW73" s="2">
        <f t="shared" si="94"/>
        <v>0.43112569278111</v>
      </c>
      <c r="AX73" s="2">
        <f t="shared" si="95"/>
        <v>-0.030725060884252</v>
      </c>
      <c r="AY73" s="11">
        <f t="shared" si="96"/>
        <v>1.59784779008224</v>
      </c>
      <c r="AZ73" s="2">
        <f t="shared" si="97"/>
        <v>0.0465307681659687</v>
      </c>
      <c r="BA73" s="1">
        <f t="shared" si="98"/>
        <v>2.31644560080015</v>
      </c>
      <c r="BB73" s="2">
        <f t="shared" si="99"/>
        <v>0.00994174736018993</v>
      </c>
      <c r="BC73" s="1">
        <f t="shared" si="100"/>
        <v>0.525795946007485</v>
      </c>
      <c r="BD73" s="1">
        <f t="shared" si="101"/>
        <v>-0.0120172742947154</v>
      </c>
      <c r="BE73" s="2">
        <f t="shared" si="102"/>
        <v>-0.050928828807918</v>
      </c>
      <c r="BF73" s="1">
        <f t="shared" si="103"/>
        <v>0.269247377519001</v>
      </c>
    </row>
    <row r="74" s="3" customFormat="1" spans="1:58">
      <c r="A74" s="8">
        <v>165.5</v>
      </c>
      <c r="B74" s="9">
        <v>0.150592235267</v>
      </c>
      <c r="C74" s="9">
        <v>0.189975487923</v>
      </c>
      <c r="D74" s="6">
        <v>0.145304140634</v>
      </c>
      <c r="E74" s="10">
        <v>0.25021022344668</v>
      </c>
      <c r="F74" s="9">
        <v>0.215348779595</v>
      </c>
      <c r="G74" s="1">
        <f t="shared" si="52"/>
        <v>1.13356087119136</v>
      </c>
      <c r="H74" s="1">
        <f t="shared" si="53"/>
        <v>0.025373291672</v>
      </c>
      <c r="I74" s="1">
        <f t="shared" si="54"/>
        <v>0.0625999815588964</v>
      </c>
      <c r="J74" s="1">
        <f t="shared" si="55"/>
        <v>-0.760521064944493</v>
      </c>
      <c r="K74" s="1">
        <f t="shared" si="56"/>
        <v>0.133560871191362</v>
      </c>
      <c r="L74" s="1">
        <f t="shared" si="57"/>
        <v>0.0914380012553283</v>
      </c>
      <c r="M74" s="1">
        <f t="shared" si="58"/>
        <v>0.0420401163136205</v>
      </c>
      <c r="N74" s="1">
        <f t="shared" si="59"/>
        <v>0.0363956934954847</v>
      </c>
      <c r="O74" s="1">
        <f t="shared" si="60"/>
        <v>0.0520639569724165</v>
      </c>
      <c r="P74" s="1">
        <f t="shared" si="61"/>
        <v>0.0398543296362604</v>
      </c>
      <c r="Q74" s="2">
        <f t="shared" si="62"/>
        <v>0.194216197990368</v>
      </c>
      <c r="R74" s="1">
        <f t="shared" si="63"/>
        <v>1.4820553540689</v>
      </c>
      <c r="S74" s="2">
        <f t="shared" si="64"/>
        <v>0.156057477136636</v>
      </c>
      <c r="T74" s="1">
        <f t="shared" si="65"/>
        <v>-0.698013924609817</v>
      </c>
      <c r="U74" s="1">
        <f t="shared" si="66"/>
        <v>0.122078198971943</v>
      </c>
      <c r="V74" s="2">
        <f t="shared" si="67"/>
        <v>0.105730375553541</v>
      </c>
      <c r="W74" s="2">
        <f t="shared" si="68"/>
        <v>0.070044638961</v>
      </c>
      <c r="X74" s="1">
        <f t="shared" si="69"/>
        <v>0.116635343994063</v>
      </c>
      <c r="Y74" s="2">
        <f t="shared" si="70"/>
        <v>0.833196374206206</v>
      </c>
      <c r="Z74" s="1">
        <f t="shared" si="71"/>
        <v>0.217396958296225</v>
      </c>
      <c r="AA74" s="1">
        <f t="shared" si="72"/>
        <v>2.54868694319859</v>
      </c>
      <c r="AB74" s="1">
        <f t="shared" si="73"/>
        <v>0.1803264601145</v>
      </c>
      <c r="AC74" s="2">
        <f t="shared" si="74"/>
        <v>0.860671385159812</v>
      </c>
      <c r="AD74" s="2">
        <f t="shared" si="75"/>
        <v>-0.03486144385168</v>
      </c>
      <c r="AE74" s="1">
        <f t="shared" si="76"/>
        <v>-0.0748808284748366</v>
      </c>
      <c r="AF74" s="2">
        <f t="shared" si="77"/>
        <v>-0.0510926002219773</v>
      </c>
      <c r="AG74" s="7">
        <f t="shared" si="78"/>
        <v>-0.0541574006485264</v>
      </c>
      <c r="AH74" s="1">
        <f t="shared" si="79"/>
        <v>-15.0042513888651</v>
      </c>
      <c r="AI74" s="1">
        <f t="shared" si="80"/>
        <v>-0.139328614840188</v>
      </c>
      <c r="AJ74" s="1">
        <f t="shared" si="81"/>
        <v>-0.102142264070681</v>
      </c>
      <c r="AK74" s="2">
        <f t="shared" si="82"/>
        <v>-0.0607587153292947</v>
      </c>
      <c r="AL74" s="2">
        <f t="shared" si="83"/>
        <v>-0.0646450209673577</v>
      </c>
      <c r="AM74" s="1">
        <f t="shared" si="84"/>
        <v>1.4820553540689</v>
      </c>
      <c r="AN74" s="1">
        <f t="shared" si="85"/>
        <v>0.10490608281268</v>
      </c>
      <c r="AO74" s="1">
        <f t="shared" si="86"/>
        <v>0.265239628038592</v>
      </c>
      <c r="AP74" s="1">
        <f t="shared" si="87"/>
        <v>1.72197586631012</v>
      </c>
      <c r="AQ74" s="1">
        <f t="shared" si="88"/>
        <v>0.06023473552368</v>
      </c>
      <c r="AR74" s="1">
        <f t="shared" si="89"/>
        <v>0.136839370220023</v>
      </c>
      <c r="AS74" s="1">
        <f t="shared" si="90"/>
        <v>-0.332310986331731</v>
      </c>
      <c r="AT74" s="1">
        <f t="shared" si="91"/>
        <v>0.28980242922601</v>
      </c>
      <c r="AU74" s="2">
        <f t="shared" si="92"/>
        <v>0.381688876627182</v>
      </c>
      <c r="AV74" s="2">
        <f t="shared" si="93"/>
        <v>0.237866929996263</v>
      </c>
      <c r="AW74" s="2">
        <f t="shared" si="94"/>
        <v>0.352531957156893</v>
      </c>
      <c r="AX74" s="2">
        <f t="shared" si="95"/>
        <v>-0.09509617937536</v>
      </c>
      <c r="AY74" s="11">
        <f t="shared" si="96"/>
        <v>2.76056571084531</v>
      </c>
      <c r="AZ74" s="2">
        <f t="shared" si="97"/>
        <v>-0.067467113386781</v>
      </c>
      <c r="BA74" s="1">
        <f t="shared" si="98"/>
        <v>4.03104175272636</v>
      </c>
      <c r="BB74" s="2">
        <f t="shared" si="99"/>
        <v>-0.0343718603863772</v>
      </c>
      <c r="BC74" s="1">
        <f t="shared" si="100"/>
        <v>0.459542462235618</v>
      </c>
      <c r="BD74" s="1">
        <f t="shared" si="101"/>
        <v>-0.14075558141759</v>
      </c>
      <c r="BE74" s="2">
        <f t="shared" si="102"/>
        <v>-0.14416666656336</v>
      </c>
      <c r="BF74" s="1">
        <f t="shared" si="103"/>
        <v>-1.19617972098579</v>
      </c>
    </row>
    <row r="75" s="3" customFormat="1" spans="1:58">
      <c r="A75" s="8">
        <v>162.5</v>
      </c>
      <c r="B75" s="9">
        <v>0.158035646446</v>
      </c>
      <c r="C75" s="9">
        <v>0.19699214074</v>
      </c>
      <c r="D75" s="6">
        <v>0.155674627216</v>
      </c>
      <c r="E75" s="10">
        <v>0.26078811976032</v>
      </c>
      <c r="F75" s="9">
        <v>0.209370113521</v>
      </c>
      <c r="G75" s="1">
        <f t="shared" si="52"/>
        <v>1.06283485592117</v>
      </c>
      <c r="H75" s="1">
        <f t="shared" si="53"/>
        <v>0.012377972781</v>
      </c>
      <c r="I75" s="1">
        <f t="shared" si="54"/>
        <v>0.0304604393031293</v>
      </c>
      <c r="J75" s="1">
        <f t="shared" si="55"/>
        <v>-0.77377270510406</v>
      </c>
      <c r="K75" s="1">
        <f t="shared" si="56"/>
        <v>0.0628348559211662</v>
      </c>
      <c r="L75" s="1">
        <f t="shared" si="57"/>
        <v>0.0437490264452543</v>
      </c>
      <c r="M75" s="1">
        <f t="shared" si="58"/>
        <v>0.0204851416574475</v>
      </c>
      <c r="N75" s="1">
        <f t="shared" si="59"/>
        <v>0.0176693021908437</v>
      </c>
      <c r="O75" s="1">
        <f t="shared" si="60"/>
        <v>0.0253520574825297</v>
      </c>
      <c r="P75" s="1">
        <f t="shared" si="61"/>
        <v>0.0194174789453069</v>
      </c>
      <c r="Q75" s="2">
        <f t="shared" si="62"/>
        <v>0.147092891125051</v>
      </c>
      <c r="R75" s="1">
        <f t="shared" si="63"/>
        <v>1.34492124545445</v>
      </c>
      <c r="S75" s="2">
        <f t="shared" si="64"/>
        <v>0.118631345638028</v>
      </c>
      <c r="T75" s="1">
        <f t="shared" si="65"/>
        <v>-0.722073596120902</v>
      </c>
      <c r="U75" s="1">
        <f t="shared" si="66"/>
        <v>0.0931087441660865</v>
      </c>
      <c r="V75" s="2">
        <f t="shared" si="67"/>
        <v>0.0802318255851945</v>
      </c>
      <c r="W75" s="2">
        <f t="shared" si="68"/>
        <v>0.053695486305</v>
      </c>
      <c r="X75" s="1">
        <f t="shared" si="69"/>
        <v>0.0888719546368146</v>
      </c>
      <c r="Y75" s="2">
        <f t="shared" si="70"/>
        <v>0.804420842050385</v>
      </c>
      <c r="Z75" s="1">
        <f t="shared" si="71"/>
        <v>0.159707396481738</v>
      </c>
      <c r="AA75" s="1">
        <f t="shared" si="72"/>
        <v>2.4989687637883</v>
      </c>
      <c r="AB75" s="1">
        <f t="shared" si="73"/>
        <v>0.1825223703685</v>
      </c>
      <c r="AC75" s="2">
        <f t="shared" si="74"/>
        <v>0.80283608667996</v>
      </c>
      <c r="AD75" s="2">
        <f t="shared" si="75"/>
        <v>-0.05141800623932</v>
      </c>
      <c r="AE75" s="1">
        <f t="shared" si="76"/>
        <v>-0.109363194345156</v>
      </c>
      <c r="AF75" s="2">
        <f t="shared" si="77"/>
        <v>-0.0749882484739521</v>
      </c>
      <c r="AG75" s="7">
        <f t="shared" si="78"/>
        <v>-0.0794994122743432</v>
      </c>
      <c r="AH75" s="1">
        <f t="shared" si="79"/>
        <v>-21.9604712048846</v>
      </c>
      <c r="AI75" s="1">
        <f t="shared" si="80"/>
        <v>-0.19716391332004</v>
      </c>
      <c r="AJ75" s="1">
        <f t="shared" si="81"/>
        <v>-0.14684166769099</v>
      </c>
      <c r="AK75" s="2">
        <f t="shared" si="82"/>
        <v>-0.0891595610341142</v>
      </c>
      <c r="AL75" s="2">
        <f t="shared" si="83"/>
        <v>-0.0946506513562985</v>
      </c>
      <c r="AM75" s="1">
        <f t="shared" si="84"/>
        <v>1.34492124545445</v>
      </c>
      <c r="AN75" s="1">
        <f t="shared" si="85"/>
        <v>0.10511349254432</v>
      </c>
      <c r="AO75" s="1">
        <f t="shared" si="86"/>
        <v>0.252395906494601</v>
      </c>
      <c r="AP75" s="1">
        <f t="shared" si="87"/>
        <v>1.67521274612384</v>
      </c>
      <c r="AQ75" s="1">
        <f t="shared" si="88"/>
        <v>0.06379597902032</v>
      </c>
      <c r="AR75" s="1">
        <f t="shared" si="89"/>
        <v>0.13935939254042</v>
      </c>
      <c r="AS75" s="1">
        <f t="shared" si="90"/>
        <v>-0.489166566486602</v>
      </c>
      <c r="AT75" s="1">
        <f t="shared" si="91"/>
        <v>0.295273971822288</v>
      </c>
      <c r="AU75" s="2">
        <f t="shared" si="92"/>
        <v>0.3908985588787</v>
      </c>
      <c r="AV75" s="2">
        <f t="shared" si="93"/>
        <v>0.248747927828994</v>
      </c>
      <c r="AW75" s="2">
        <f t="shared" si="94"/>
        <v>0.334546372899984</v>
      </c>
      <c r="AX75" s="2">
        <f t="shared" si="95"/>
        <v>-0.11521398525964</v>
      </c>
      <c r="AY75" s="11">
        <f t="shared" si="96"/>
        <v>4.33798710459452</v>
      </c>
      <c r="AZ75" s="2">
        <f t="shared" si="97"/>
        <v>-0.0991356531574671</v>
      </c>
      <c r="BA75" s="1">
        <f t="shared" si="98"/>
        <v>4.49715771782689</v>
      </c>
      <c r="BB75" s="2">
        <f t="shared" si="99"/>
        <v>-0.0432677275597673</v>
      </c>
      <c r="BC75" s="1">
        <f t="shared" si="100"/>
        <v>0.433831364315934</v>
      </c>
      <c r="BD75" s="1">
        <f t="shared" si="101"/>
        <v>-0.18011922317645</v>
      </c>
      <c r="BE75" s="2">
        <f t="shared" si="102"/>
        <v>-0.17356365625632</v>
      </c>
      <c r="BF75" s="1">
        <f t="shared" si="103"/>
        <v>-3.59033542677503</v>
      </c>
    </row>
    <row r="76" s="3" customFormat="1" spans="1:58">
      <c r="A76" s="8">
        <v>144.5</v>
      </c>
      <c r="B76" s="9">
        <v>0.163471027441</v>
      </c>
      <c r="C76" s="9">
        <v>0.203725221624</v>
      </c>
      <c r="D76" s="6">
        <v>0.163591248227</v>
      </c>
      <c r="E76" s="10">
        <v>0.26886307319154</v>
      </c>
      <c r="F76" s="9">
        <v>0.20907419467</v>
      </c>
      <c r="G76" s="1">
        <f t="shared" si="52"/>
        <v>1.02625582146069</v>
      </c>
      <c r="H76" s="1">
        <f t="shared" si="53"/>
        <v>0.00534897304599999</v>
      </c>
      <c r="I76" s="1">
        <f t="shared" si="54"/>
        <v>0.0129578018642119</v>
      </c>
      <c r="J76" s="1">
        <f t="shared" si="55"/>
        <v>-0.780704942388408</v>
      </c>
      <c r="K76" s="1">
        <f t="shared" si="56"/>
        <v>0.0262558214606936</v>
      </c>
      <c r="L76" s="1">
        <f t="shared" si="57"/>
        <v>0.0184449920647798</v>
      </c>
      <c r="M76" s="1">
        <f t="shared" si="58"/>
        <v>0.00878994818114097</v>
      </c>
      <c r="N76" s="1">
        <f t="shared" si="59"/>
        <v>0.00758416091691161</v>
      </c>
      <c r="O76" s="1">
        <f t="shared" si="60"/>
        <v>0.0108324285201004</v>
      </c>
      <c r="P76" s="1">
        <f t="shared" si="61"/>
        <v>0.00832531878711428</v>
      </c>
      <c r="Q76" s="2">
        <f t="shared" si="62"/>
        <v>0.122047663151775</v>
      </c>
      <c r="R76" s="1">
        <f t="shared" si="63"/>
        <v>1.27802799315944</v>
      </c>
      <c r="S76" s="2">
        <f t="shared" si="64"/>
        <v>0.0990494475987286</v>
      </c>
      <c r="T76" s="1">
        <f t="shared" si="65"/>
        <v>-0.734058901804747</v>
      </c>
      <c r="U76" s="1">
        <f t="shared" si="66"/>
        <v>0.0781793529465478</v>
      </c>
      <c r="V76" s="2">
        <f t="shared" si="67"/>
        <v>0.0673419135270696</v>
      </c>
      <c r="W76" s="2">
        <f t="shared" si="68"/>
        <v>0.045482946443</v>
      </c>
      <c r="X76" s="1">
        <f t="shared" si="69"/>
        <v>0.0745056194298489</v>
      </c>
      <c r="Y76" s="2">
        <f t="shared" si="70"/>
        <v>0.788699982979444</v>
      </c>
      <c r="Z76" s="1">
        <f t="shared" si="71"/>
        <v>0.130499001839204</v>
      </c>
      <c r="AA76" s="1">
        <f t="shared" si="72"/>
        <v>2.46643418031875</v>
      </c>
      <c r="AB76" s="1">
        <f t="shared" si="73"/>
        <v>0.1863327214485</v>
      </c>
      <c r="AC76" s="2">
        <f t="shared" si="74"/>
        <v>0.777623316538728</v>
      </c>
      <c r="AD76" s="2">
        <f t="shared" si="75"/>
        <v>-0.05978887852154</v>
      </c>
      <c r="AE76" s="1">
        <f t="shared" si="76"/>
        <v>-0.125097753496095</v>
      </c>
      <c r="AF76" s="2">
        <f t="shared" si="77"/>
        <v>-0.0864838388781139</v>
      </c>
      <c r="AG76" s="7">
        <f t="shared" si="78"/>
        <v>-0.0917066162929049</v>
      </c>
      <c r="AH76" s="1">
        <f t="shared" si="79"/>
        <v>-25.1513041024747</v>
      </c>
      <c r="AI76" s="1">
        <f t="shared" si="80"/>
        <v>-0.222376683461272</v>
      </c>
      <c r="AJ76" s="1">
        <f t="shared" si="81"/>
        <v>-0.166789758471308</v>
      </c>
      <c r="AK76" s="2">
        <f t="shared" si="82"/>
        <v>-0.102769415830868</v>
      </c>
      <c r="AL76" s="2">
        <f t="shared" si="83"/>
        <v>-0.108717741663651</v>
      </c>
      <c r="AM76" s="1">
        <f t="shared" si="84"/>
        <v>1.27802799315944</v>
      </c>
      <c r="AN76" s="1">
        <f t="shared" si="85"/>
        <v>0.10527182496454</v>
      </c>
      <c r="AO76" s="1">
        <f t="shared" si="86"/>
        <v>0.243428773284602</v>
      </c>
      <c r="AP76" s="1">
        <f t="shared" si="87"/>
        <v>1.64350523701894</v>
      </c>
      <c r="AQ76" s="1">
        <f t="shared" si="88"/>
        <v>0.06513785156754</v>
      </c>
      <c r="AR76" s="1">
        <f t="shared" si="89"/>
        <v>0.137832130592579</v>
      </c>
      <c r="AS76" s="1">
        <f t="shared" si="90"/>
        <v>-0.567947582761859</v>
      </c>
      <c r="AT76" s="1">
        <f t="shared" si="91"/>
        <v>0.298865237219895</v>
      </c>
      <c r="AU76" s="2">
        <f t="shared" si="92"/>
        <v>0.394422573250957</v>
      </c>
      <c r="AV76" s="2">
        <f t="shared" si="93"/>
        <v>0.255002301728427</v>
      </c>
      <c r="AW76" s="2">
        <f t="shared" si="94"/>
        <v>0.325900079929019</v>
      </c>
      <c r="AX76" s="2">
        <f t="shared" si="95"/>
        <v>-0.12492673008908</v>
      </c>
      <c r="AY76" s="11">
        <f t="shared" si="96"/>
        <v>8.50311752402876</v>
      </c>
      <c r="AZ76" s="2">
        <f t="shared" si="97"/>
        <v>-0.115483767710881</v>
      </c>
      <c r="BA76" s="1">
        <f t="shared" si="98"/>
        <v>4.93229148330335</v>
      </c>
      <c r="BB76" s="2">
        <f t="shared" si="99"/>
        <v>-0.0473251232400724</v>
      </c>
      <c r="BC76" s="1">
        <f t="shared" si="100"/>
        <v>0.426779912313893</v>
      </c>
      <c r="BD76" s="1">
        <f t="shared" si="101"/>
        <v>-0.200587795359995</v>
      </c>
      <c r="BE76" s="2">
        <f t="shared" si="102"/>
        <v>-0.18771103351638</v>
      </c>
      <c r="BF76" s="1">
        <f t="shared" si="103"/>
        <v>-9.65424188508404</v>
      </c>
    </row>
    <row r="77" s="3" customFormat="1" spans="1:58">
      <c r="A77" s="8">
        <v>192</v>
      </c>
      <c r="B77" s="9">
        <v>0.124845404216</v>
      </c>
      <c r="C77" s="9">
        <v>0.169447552197</v>
      </c>
      <c r="D77" s="6">
        <v>0.118456280515</v>
      </c>
      <c r="E77" s="10">
        <v>0.2228254061253</v>
      </c>
      <c r="F77" s="9">
        <v>0.249644854125</v>
      </c>
      <c r="G77" s="1">
        <f t="shared" si="52"/>
        <v>1.47328687188566</v>
      </c>
      <c r="H77" s="1">
        <f t="shared" si="53"/>
        <v>0.080197301928</v>
      </c>
      <c r="I77" s="1">
        <f t="shared" si="54"/>
        <v>0.191359472799377</v>
      </c>
      <c r="J77" s="1">
        <f t="shared" si="55"/>
        <v>-0.699532185186169</v>
      </c>
      <c r="K77" s="1">
        <f t="shared" si="56"/>
        <v>0.473286871885659</v>
      </c>
      <c r="L77" s="1">
        <f t="shared" si="57"/>
        <v>0.300945055262428</v>
      </c>
      <c r="M77" s="1">
        <f t="shared" si="58"/>
        <v>0.130885591116346</v>
      </c>
      <c r="N77" s="1">
        <f t="shared" si="59"/>
        <v>0.115947131657819</v>
      </c>
      <c r="O77" s="1">
        <f t="shared" si="60"/>
        <v>0.160645985374486</v>
      </c>
      <c r="P77" s="1">
        <f t="shared" si="61"/>
        <v>0.123881045430181</v>
      </c>
      <c r="Q77" s="2">
        <f t="shared" si="62"/>
        <v>0.356392744451335</v>
      </c>
      <c r="R77" s="1">
        <f t="shared" si="63"/>
        <v>2.1074851670139</v>
      </c>
      <c r="S77" s="2">
        <f t="shared" si="64"/>
        <v>0.28816212540679</v>
      </c>
      <c r="T77" s="1">
        <f t="shared" si="65"/>
        <v>-0.59629885972181</v>
      </c>
      <c r="U77" s="1">
        <f t="shared" si="66"/>
        <v>0.22668195278492</v>
      </c>
      <c r="V77" s="2">
        <f t="shared" si="67"/>
        <v>0.202296464069733</v>
      </c>
      <c r="W77" s="2">
        <f t="shared" si="68"/>
        <v>0.13118857361</v>
      </c>
      <c r="X77" s="1">
        <f t="shared" si="69"/>
        <v>0.216228249286544</v>
      </c>
      <c r="Y77" s="2">
        <f t="shared" si="70"/>
        <v>0.925414903949215</v>
      </c>
      <c r="Z77" s="1">
        <f t="shared" si="71"/>
        <v>0.451718005335023</v>
      </c>
      <c r="AA77" s="1">
        <f t="shared" si="72"/>
        <v>2.70973820665957</v>
      </c>
      <c r="AB77" s="1">
        <f t="shared" si="73"/>
        <v>0.18405056732</v>
      </c>
      <c r="AC77" s="2">
        <f t="shared" si="74"/>
        <v>1.12036081731461</v>
      </c>
      <c r="AD77" s="2">
        <f t="shared" si="75"/>
        <v>0.0268194479997</v>
      </c>
      <c r="AE77" s="1">
        <f t="shared" si="76"/>
        <v>0.0567643093249761</v>
      </c>
      <c r="AF77" s="2">
        <f t="shared" si="77"/>
        <v>0.0390177836656579</v>
      </c>
      <c r="AG77" s="7">
        <f t="shared" si="78"/>
        <v>0.0413680229040584</v>
      </c>
      <c r="AH77" s="1">
        <f t="shared" si="79"/>
        <v>11.3650791741768</v>
      </c>
      <c r="AI77" s="1">
        <f t="shared" si="80"/>
        <v>0.120360817314606</v>
      </c>
      <c r="AJ77" s="1">
        <f t="shared" si="81"/>
        <v>0.0826571150274023</v>
      </c>
      <c r="AK77" s="2">
        <f t="shared" si="82"/>
        <v>0.0463415728816355</v>
      </c>
      <c r="AL77" s="2">
        <f t="shared" si="83"/>
        <v>0.0491889684541689</v>
      </c>
      <c r="AM77" s="1">
        <f t="shared" si="84"/>
        <v>2.1074851670139</v>
      </c>
      <c r="AN77" s="1">
        <f t="shared" si="85"/>
        <v>0.1043691256103</v>
      </c>
      <c r="AO77" s="1">
        <f t="shared" si="86"/>
        <v>0.305815195177178</v>
      </c>
      <c r="AP77" s="1">
        <f t="shared" si="87"/>
        <v>1.88107718017606</v>
      </c>
      <c r="AQ77" s="1">
        <f t="shared" si="88"/>
        <v>0.0533778539283</v>
      </c>
      <c r="AR77" s="1">
        <f t="shared" si="89"/>
        <v>0.136073243887598</v>
      </c>
      <c r="AS77" s="1">
        <f t="shared" si="90"/>
        <v>0.256967257729457</v>
      </c>
      <c r="AT77" s="1">
        <f t="shared" si="91"/>
        <v>0.263970790202852</v>
      </c>
      <c r="AU77" s="2">
        <f t="shared" si="92"/>
        <v>0.347124510030002</v>
      </c>
      <c r="AV77" s="2">
        <f t="shared" si="93"/>
        <v>0.200458555071141</v>
      </c>
      <c r="AW77" s="2">
        <f t="shared" si="94"/>
        <v>0.422463431413469</v>
      </c>
      <c r="AX77" s="2">
        <f t="shared" si="95"/>
        <v>-0.0265584059286</v>
      </c>
      <c r="AY77" s="11">
        <f t="shared" si="96"/>
        <v>1.63582278276368</v>
      </c>
      <c r="AZ77" s="2">
        <f t="shared" si="97"/>
        <v>0.0509588421014894</v>
      </c>
      <c r="BA77" s="1">
        <f t="shared" si="98"/>
        <v>2.73789351058018</v>
      </c>
      <c r="BB77" s="2">
        <f t="shared" si="99"/>
        <v>0.0120774757339744</v>
      </c>
      <c r="BC77" s="1">
        <f t="shared" si="100"/>
        <v>0.580349934450607</v>
      </c>
      <c r="BD77" s="1">
        <f t="shared" si="101"/>
        <v>-0.00772877853212212</v>
      </c>
      <c r="BE77" s="2">
        <f t="shared" si="102"/>
        <v>-0.04464944700858</v>
      </c>
      <c r="BF77" s="1">
        <f t="shared" si="103"/>
        <v>0.296637049081383</v>
      </c>
    </row>
    <row r="78" s="3" customFormat="1" spans="1:58">
      <c r="A78" s="8">
        <v>201</v>
      </c>
      <c r="B78" s="9">
        <v>0.093430452048</v>
      </c>
      <c r="C78" s="9">
        <v>0.137032514055</v>
      </c>
      <c r="D78" s="6">
        <v>0.0814279619729</v>
      </c>
      <c r="E78" s="10">
        <v>0.185056521212358</v>
      </c>
      <c r="F78" s="9">
        <v>0.268459853829</v>
      </c>
      <c r="G78" s="1">
        <f t="shared" si="52"/>
        <v>1.95909602681047</v>
      </c>
      <c r="H78" s="1">
        <f t="shared" si="53"/>
        <v>0.131427339774</v>
      </c>
      <c r="I78" s="1">
        <f t="shared" si="54"/>
        <v>0.324117912403219</v>
      </c>
      <c r="J78" s="1">
        <f t="shared" si="55"/>
        <v>-0.619313194531734</v>
      </c>
      <c r="K78" s="1">
        <f t="shared" si="56"/>
        <v>0.959096026810467</v>
      </c>
      <c r="L78" s="1">
        <f t="shared" si="57"/>
        <v>0.557548385347882</v>
      </c>
      <c r="M78" s="1">
        <f t="shared" si="58"/>
        <v>0.217716920267024</v>
      </c>
      <c r="N78" s="1">
        <f t="shared" si="59"/>
        <v>0.196030061278955</v>
      </c>
      <c r="O78" s="1">
        <f t="shared" si="60"/>
        <v>0.269598181684237</v>
      </c>
      <c r="P78" s="1">
        <f t="shared" si="61"/>
        <v>0.206392720317984</v>
      </c>
      <c r="Q78" s="2">
        <f t="shared" si="62"/>
        <v>0.534548170611331</v>
      </c>
      <c r="R78" s="1">
        <f t="shared" si="63"/>
        <v>3.29690007369147</v>
      </c>
      <c r="S78" s="2">
        <f t="shared" si="64"/>
        <v>0.425499468372014</v>
      </c>
      <c r="T78" s="1">
        <f t="shared" si="65"/>
        <v>-0.433046619391129</v>
      </c>
      <c r="U78" s="1">
        <f t="shared" si="66"/>
        <v>0.330099846789123</v>
      </c>
      <c r="V78" s="2">
        <f t="shared" si="67"/>
        <v>0.303199965987067</v>
      </c>
      <c r="W78" s="2">
        <f t="shared" si="68"/>
        <v>0.1870318918561</v>
      </c>
      <c r="X78" s="1">
        <f t="shared" si="69"/>
        <v>0.316192276372549</v>
      </c>
      <c r="Y78" s="2">
        <f t="shared" si="70"/>
        <v>1.01712741119848</v>
      </c>
      <c r="Z78" s="1">
        <f t="shared" si="71"/>
        <v>0.815736785355043</v>
      </c>
      <c r="AA78" s="1">
        <f t="shared" si="72"/>
        <v>2.9251424769783</v>
      </c>
      <c r="AB78" s="1">
        <f t="shared" si="73"/>
        <v>0.17494390790095</v>
      </c>
      <c r="AC78" s="2">
        <f t="shared" si="74"/>
        <v>1.45069112977075</v>
      </c>
      <c r="AD78" s="2">
        <f t="shared" si="75"/>
        <v>0.083403332616642</v>
      </c>
      <c r="AE78" s="1">
        <f t="shared" si="76"/>
        <v>0.18390368508532</v>
      </c>
      <c r="AF78" s="2">
        <f t="shared" si="77"/>
        <v>0.123847406983744</v>
      </c>
      <c r="AG78" s="7">
        <f t="shared" si="78"/>
        <v>0.131203828481222</v>
      </c>
      <c r="AH78" s="1">
        <f t="shared" si="79"/>
        <v>37.2040084096344</v>
      </c>
      <c r="AI78" s="1">
        <f t="shared" si="80"/>
        <v>0.450691129770748</v>
      </c>
      <c r="AJ78" s="1">
        <f t="shared" si="81"/>
        <v>0.28789539697624</v>
      </c>
      <c r="AK78" s="2">
        <f t="shared" si="82"/>
        <v>0.147201779574781</v>
      </c>
      <c r="AL78" s="2">
        <f t="shared" si="83"/>
        <v>0.157694023780185</v>
      </c>
      <c r="AM78" s="1">
        <f t="shared" si="84"/>
        <v>3.29690007369147</v>
      </c>
      <c r="AN78" s="1">
        <f t="shared" si="85"/>
        <v>0.103628559239458</v>
      </c>
      <c r="AO78" s="1">
        <f t="shared" si="86"/>
        <v>0.388872770379716</v>
      </c>
      <c r="AP78" s="1">
        <f t="shared" si="87"/>
        <v>2.27264095439287</v>
      </c>
      <c r="AQ78" s="1">
        <f t="shared" si="88"/>
        <v>0.048024007157358</v>
      </c>
      <c r="AR78" s="1">
        <f t="shared" si="89"/>
        <v>0.149101651714081</v>
      </c>
      <c r="AS78" s="1">
        <f t="shared" si="90"/>
        <v>0.804829607096236</v>
      </c>
      <c r="AT78" s="1">
        <f t="shared" si="91"/>
        <v>0.23204262438743</v>
      </c>
      <c r="AU78" s="2">
        <f t="shared" si="92"/>
        <v>0.313363592124484</v>
      </c>
      <c r="AV78" s="2">
        <f t="shared" si="93"/>
        <v>0.152217635254132</v>
      </c>
      <c r="AW78" s="2">
        <f t="shared" si="94"/>
        <v>0.50184633288649</v>
      </c>
      <c r="AX78" s="2">
        <f t="shared" si="95"/>
        <v>0.035379325459284</v>
      </c>
      <c r="AY78" s="11">
        <f t="shared" si="96"/>
        <v>1.4230820784908</v>
      </c>
      <c r="AZ78" s="2">
        <f t="shared" si="97"/>
        <v>0.154329995554413</v>
      </c>
      <c r="BA78" s="1">
        <f t="shared" si="98"/>
        <v>1.99200711969789</v>
      </c>
      <c r="BB78" s="2">
        <f t="shared" si="99"/>
        <v>0.0828603796163802</v>
      </c>
      <c r="BC78" s="1">
        <f t="shared" si="100"/>
        <v>0.659185181189242</v>
      </c>
      <c r="BD78" s="1">
        <f t="shared" si="101"/>
        <v>0.0874146939499943</v>
      </c>
      <c r="BE78" s="2">
        <f t="shared" si="102"/>
        <v>0.0451833478024859</v>
      </c>
      <c r="BF78" s="1">
        <f t="shared" si="103"/>
        <v>0.567397474955149</v>
      </c>
    </row>
    <row r="79" s="3" customFormat="1" spans="1:58">
      <c r="A79" s="8">
        <v>195.5</v>
      </c>
      <c r="B79" s="9">
        <v>0.119521411078</v>
      </c>
      <c r="C79" s="9">
        <v>0.162421587812</v>
      </c>
      <c r="D79" s="6">
        <v>0.108372701942</v>
      </c>
      <c r="E79" s="10">
        <v>0.21254015598084</v>
      </c>
      <c r="F79" s="9">
        <v>0.258960940359</v>
      </c>
      <c r="G79" s="1">
        <f t="shared" si="52"/>
        <v>1.59437513108628</v>
      </c>
      <c r="H79" s="1">
        <f t="shared" si="53"/>
        <v>0.096539352547</v>
      </c>
      <c r="I79" s="1">
        <f t="shared" si="54"/>
        <v>0.229101460295534</v>
      </c>
      <c r="J79" s="1">
        <f t="shared" si="55"/>
        <v>-0.678802991284355</v>
      </c>
      <c r="K79" s="1">
        <f t="shared" si="56"/>
        <v>0.594375131086285</v>
      </c>
      <c r="L79" s="1">
        <f t="shared" si="57"/>
        <v>0.36901519006027</v>
      </c>
      <c r="M79" s="1">
        <f t="shared" si="58"/>
        <v>0.157164938983545</v>
      </c>
      <c r="N79" s="1">
        <f t="shared" si="59"/>
        <v>0.140137052732951</v>
      </c>
      <c r="O79" s="1">
        <f t="shared" si="60"/>
        <v>0.192619563760922</v>
      </c>
      <c r="P79" s="1">
        <f t="shared" si="61"/>
        <v>0.148718884626341</v>
      </c>
      <c r="Q79" s="2">
        <f t="shared" si="62"/>
        <v>0.409949487538648</v>
      </c>
      <c r="R79" s="1">
        <f t="shared" si="63"/>
        <v>2.38954031521327</v>
      </c>
      <c r="S79" s="2">
        <f t="shared" si="64"/>
        <v>0.331255855024725</v>
      </c>
      <c r="T79" s="1">
        <f t="shared" si="65"/>
        <v>-0.554309713322576</v>
      </c>
      <c r="U79" s="1">
        <f t="shared" si="66"/>
        <v>0.260433063597353</v>
      </c>
      <c r="V79" s="2">
        <f t="shared" si="67"/>
        <v>0.234704102390607</v>
      </c>
      <c r="W79" s="2">
        <f t="shared" si="68"/>
        <v>0.150588238417</v>
      </c>
      <c r="X79" s="1">
        <f t="shared" si="69"/>
        <v>0.24846241399535</v>
      </c>
      <c r="Y79" s="2">
        <f t="shared" si="70"/>
        <v>0.95391272532588</v>
      </c>
      <c r="Z79" s="1">
        <f t="shared" si="71"/>
        <v>0.545813803539503</v>
      </c>
      <c r="AA79" s="1">
        <f t="shared" si="72"/>
        <v>2.77097735819571</v>
      </c>
      <c r="AB79" s="1">
        <f t="shared" si="73"/>
        <v>0.1836668211505</v>
      </c>
      <c r="AC79" s="2">
        <f t="shared" si="74"/>
        <v>1.21840947732411</v>
      </c>
      <c r="AD79" s="2">
        <f t="shared" si="75"/>
        <v>0.04642078437816</v>
      </c>
      <c r="AE79" s="1">
        <f t="shared" si="76"/>
        <v>0.0984531843902685</v>
      </c>
      <c r="AF79" s="2">
        <f t="shared" si="77"/>
        <v>0.0676038019931119</v>
      </c>
      <c r="AG79" s="7">
        <f t="shared" si="78"/>
        <v>0.0716738013261926</v>
      </c>
      <c r="AH79" s="1">
        <f t="shared" si="79"/>
        <v>19.7546301068325</v>
      </c>
      <c r="AI79" s="1">
        <f t="shared" si="80"/>
        <v>0.21840947732411</v>
      </c>
      <c r="AJ79" s="1">
        <f t="shared" si="81"/>
        <v>0.146639382648635</v>
      </c>
      <c r="AK79" s="2">
        <f t="shared" si="82"/>
        <v>0.0802818813559583</v>
      </c>
      <c r="AL79" s="2">
        <f t="shared" si="83"/>
        <v>0.0852700180423558</v>
      </c>
      <c r="AM79" s="1">
        <f t="shared" si="84"/>
        <v>2.38954031521327</v>
      </c>
      <c r="AN79" s="1">
        <f t="shared" si="85"/>
        <v>0.10416745403884</v>
      </c>
      <c r="AO79" s="1">
        <f t="shared" si="86"/>
        <v>0.324597321257492</v>
      </c>
      <c r="AP79" s="1">
        <f t="shared" si="87"/>
        <v>1.96119642836431</v>
      </c>
      <c r="AQ79" s="1">
        <f t="shared" si="88"/>
        <v>0.05011856816884</v>
      </c>
      <c r="AR79" s="1">
        <f t="shared" si="89"/>
        <v>0.133663150970755</v>
      </c>
      <c r="AS79" s="1">
        <f t="shared" si="90"/>
        <v>0.445636161567811</v>
      </c>
      <c r="AT79" s="1">
        <f t="shared" si="91"/>
        <v>0.256216715180831</v>
      </c>
      <c r="AU79" s="2">
        <f t="shared" si="92"/>
        <v>0.335277725966234</v>
      </c>
      <c r="AV79" s="2">
        <f t="shared" si="93"/>
        <v>0.186890151379675</v>
      </c>
      <c r="AW79" s="2">
        <f t="shared" si="94"/>
        <v>0.446581551238043</v>
      </c>
      <c r="AX79" s="2">
        <f t="shared" si="95"/>
        <v>-0.00369778379067998</v>
      </c>
      <c r="AY79" s="11">
        <f t="shared" si="96"/>
        <v>1.55986376999666</v>
      </c>
      <c r="AZ79" s="2">
        <f t="shared" si="97"/>
        <v>0.0881827024997373</v>
      </c>
      <c r="BA79" s="1">
        <f t="shared" si="98"/>
        <v>2.53149613870164</v>
      </c>
      <c r="BB79" s="2">
        <f t="shared" si="99"/>
        <v>0.0330346312155695</v>
      </c>
      <c r="BC79" s="1">
        <f t="shared" si="100"/>
        <v>0.614542658275169</v>
      </c>
      <c r="BD79" s="1">
        <f t="shared" si="101"/>
        <v>0.0291754710179908</v>
      </c>
      <c r="BE79" s="2">
        <f t="shared" si="102"/>
        <v>-0.01133903683884</v>
      </c>
      <c r="BF79" s="1">
        <f t="shared" si="103"/>
        <v>0.429736171315831</v>
      </c>
    </row>
    <row r="80" s="3" customFormat="1" spans="1:58">
      <c r="A80" s="8">
        <v>176</v>
      </c>
      <c r="B80" s="9">
        <v>0.0974554054211</v>
      </c>
      <c r="C80" s="9">
        <v>0.133574313125</v>
      </c>
      <c r="D80" s="6">
        <v>0.0870108408832</v>
      </c>
      <c r="E80" s="10">
        <v>0.190751057700864</v>
      </c>
      <c r="F80" s="9">
        <v>0.225538403511</v>
      </c>
      <c r="G80" s="1">
        <f t="shared" si="52"/>
        <v>1.68848634317842</v>
      </c>
      <c r="H80" s="1">
        <f t="shared" si="53"/>
        <v>0.091964090386</v>
      </c>
      <c r="I80" s="1">
        <f t="shared" si="54"/>
        <v>0.256086978059359</v>
      </c>
      <c r="J80" s="1">
        <f t="shared" si="55"/>
        <v>-0.663037971609938</v>
      </c>
      <c r="K80" s="1">
        <f t="shared" si="56"/>
        <v>0.688486343178416</v>
      </c>
      <c r="L80" s="1">
        <f t="shared" si="57"/>
        <v>0.419895685926516</v>
      </c>
      <c r="M80" s="1">
        <f t="shared" si="58"/>
        <v>0.160568145375791</v>
      </c>
      <c r="N80" s="1">
        <f t="shared" si="59"/>
        <v>0.140322379980124</v>
      </c>
      <c r="O80" s="1">
        <f t="shared" si="60"/>
        <v>0.205501312969303</v>
      </c>
      <c r="P80" s="1">
        <f t="shared" si="61"/>
        <v>0.153462718589658</v>
      </c>
      <c r="Q80" s="2">
        <f t="shared" si="62"/>
        <v>0.443218357146573</v>
      </c>
      <c r="R80" s="1">
        <f t="shared" si="63"/>
        <v>2.59207245007268</v>
      </c>
      <c r="S80" s="2">
        <f t="shared" si="64"/>
        <v>0.340053390317558</v>
      </c>
      <c r="T80" s="1">
        <f t="shared" si="65"/>
        <v>-0.525496351996439</v>
      </c>
      <c r="U80" s="1">
        <f t="shared" si="66"/>
        <v>0.255727693275525</v>
      </c>
      <c r="V80" s="2">
        <f t="shared" si="67"/>
        <v>0.226187975741392</v>
      </c>
      <c r="W80" s="2">
        <f t="shared" si="68"/>
        <v>0.1385275626278</v>
      </c>
      <c r="X80" s="1">
        <f t="shared" si="69"/>
        <v>0.247786114880177</v>
      </c>
      <c r="Y80" s="2">
        <f t="shared" si="70"/>
        <v>0.971194294230857</v>
      </c>
      <c r="Z80" s="1">
        <f t="shared" si="71"/>
        <v>0.609991444099215</v>
      </c>
      <c r="AA80" s="1">
        <f t="shared" si="72"/>
        <v>2.83748085254379</v>
      </c>
      <c r="AB80" s="1">
        <f t="shared" si="73"/>
        <v>0.1562746221971</v>
      </c>
      <c r="AC80" s="2">
        <f t="shared" si="74"/>
        <v>1.18237039536991</v>
      </c>
      <c r="AD80" s="2">
        <f t="shared" si="75"/>
        <v>0.034787345810136</v>
      </c>
      <c r="AE80" s="1">
        <f t="shared" si="76"/>
        <v>0.0835652810159215</v>
      </c>
      <c r="AF80" s="2">
        <f t="shared" si="77"/>
        <v>0.0539167351424588</v>
      </c>
      <c r="AG80" s="7">
        <f t="shared" si="78"/>
        <v>0.0569481816872481</v>
      </c>
      <c r="AH80" s="1">
        <f t="shared" si="79"/>
        <v>16.7521233153015</v>
      </c>
      <c r="AI80" s="1">
        <f t="shared" si="80"/>
        <v>0.182370395369915</v>
      </c>
      <c r="AJ80" s="1">
        <f t="shared" si="81"/>
        <v>0.123449719878466</v>
      </c>
      <c r="AK80" s="2">
        <f t="shared" si="82"/>
        <v>0.0642189000546148</v>
      </c>
      <c r="AL80" s="2">
        <f t="shared" si="83"/>
        <v>0.0700226602355347</v>
      </c>
      <c r="AM80" s="1">
        <f t="shared" si="84"/>
        <v>2.59207245007268</v>
      </c>
      <c r="AN80" s="1">
        <f t="shared" si="85"/>
        <v>0.103740216817664</v>
      </c>
      <c r="AO80" s="1">
        <f t="shared" si="86"/>
        <v>0.37348613091463</v>
      </c>
      <c r="AP80" s="1">
        <f t="shared" si="87"/>
        <v>2.19226771933995</v>
      </c>
      <c r="AQ80" s="1">
        <f t="shared" si="88"/>
        <v>0.057176744575864</v>
      </c>
      <c r="AR80" s="1">
        <f t="shared" si="89"/>
        <v>0.176294393590822</v>
      </c>
      <c r="AS80" s="1">
        <f t="shared" si="90"/>
        <v>0.335331338966439</v>
      </c>
      <c r="AT80" s="1">
        <f t="shared" si="91"/>
        <v>0.242922555293065</v>
      </c>
      <c r="AU80" s="2">
        <f t="shared" si="92"/>
        <v>0.346906027644592</v>
      </c>
      <c r="AV80" s="2">
        <f t="shared" si="93"/>
        <v>0.172880565580835</v>
      </c>
      <c r="AW80" s="2">
        <f t="shared" si="94"/>
        <v>0.448118951195066</v>
      </c>
      <c r="AX80" s="2">
        <f t="shared" si="95"/>
        <v>-0.0223893987657281</v>
      </c>
      <c r="AY80" s="11">
        <f t="shared" si="96"/>
        <v>1.50632232696871</v>
      </c>
      <c r="AZ80" s="2">
        <f t="shared" si="97"/>
        <v>0.0635623353403903</v>
      </c>
      <c r="BA80" s="1">
        <f t="shared" si="98"/>
        <v>2.02450235803858</v>
      </c>
      <c r="BB80" s="2">
        <f t="shared" si="99"/>
        <v>0.0193844042374945</v>
      </c>
      <c r="BC80" s="1">
        <f t="shared" si="100"/>
        <v>0.530668125940072</v>
      </c>
      <c r="BD80" s="1">
        <f t="shared" si="101"/>
        <v>0.00608750403409039</v>
      </c>
      <c r="BE80" s="2">
        <f t="shared" si="102"/>
        <v>-0.0391019435717521</v>
      </c>
      <c r="BF80" s="1">
        <f t="shared" si="103"/>
        <v>0.326316010478876</v>
      </c>
    </row>
    <row r="81" s="3" customFormat="1" spans="1:58">
      <c r="A81" s="8">
        <v>184</v>
      </c>
      <c r="B81" s="9">
        <v>0.0881897789117</v>
      </c>
      <c r="C81" s="9">
        <v>0.12313375309</v>
      </c>
      <c r="D81" s="6">
        <v>0.0757095113799</v>
      </c>
      <c r="E81" s="10">
        <v>0.179223701607498</v>
      </c>
      <c r="F81" s="9">
        <v>0.224541635249</v>
      </c>
      <c r="G81" s="1">
        <f t="shared" si="52"/>
        <v>1.82355876933987</v>
      </c>
      <c r="H81" s="1">
        <f t="shared" si="53"/>
        <v>0.101407882159</v>
      </c>
      <c r="I81" s="1">
        <f t="shared" si="54"/>
        <v>0.291674031467889</v>
      </c>
      <c r="J81" s="1">
        <f t="shared" si="55"/>
        <v>-0.640921897977054</v>
      </c>
      <c r="K81" s="1">
        <f t="shared" si="56"/>
        <v>0.823558769339871</v>
      </c>
      <c r="L81" s="1">
        <f t="shared" si="57"/>
        <v>0.490112952699777</v>
      </c>
      <c r="M81" s="1">
        <f t="shared" si="58"/>
        <v>0.179445841333862</v>
      </c>
      <c r="N81" s="1">
        <f t="shared" si="59"/>
        <v>0.15696360810974</v>
      </c>
      <c r="O81" s="1">
        <f t="shared" si="60"/>
        <v>0.231709367848832</v>
      </c>
      <c r="P81" s="1">
        <f t="shared" si="61"/>
        <v>0.171982690442777</v>
      </c>
      <c r="Q81" s="2">
        <f t="shared" si="62"/>
        <v>0.495692108223824</v>
      </c>
      <c r="R81" s="1">
        <f t="shared" si="63"/>
        <v>2.96583125629065</v>
      </c>
      <c r="S81" s="2">
        <f t="shared" si="64"/>
        <v>0.375110990928958</v>
      </c>
      <c r="T81" s="1">
        <f t="shared" si="65"/>
        <v>-0.4750353032269</v>
      </c>
      <c r="U81" s="1">
        <f t="shared" si="66"/>
        <v>0.278972653452725</v>
      </c>
      <c r="V81" s="2">
        <f t="shared" si="67"/>
        <v>0.247785582879347</v>
      </c>
      <c r="W81" s="2">
        <f t="shared" si="68"/>
        <v>0.1488321238691</v>
      </c>
      <c r="X81" s="1">
        <f t="shared" si="69"/>
        <v>0.271615370058661</v>
      </c>
      <c r="Y81" s="2">
        <f t="shared" si="70"/>
        <v>0.997843729360376</v>
      </c>
      <c r="Z81" s="1">
        <f t="shared" si="71"/>
        <v>0.722158894031166</v>
      </c>
      <c r="AA81" s="1">
        <f t="shared" si="72"/>
        <v>2.89724161095074</v>
      </c>
      <c r="AB81" s="1">
        <f t="shared" si="73"/>
        <v>0.15012557331445</v>
      </c>
      <c r="AC81" s="2">
        <f t="shared" si="74"/>
        <v>1.25285681098557</v>
      </c>
      <c r="AD81" s="2">
        <f t="shared" si="75"/>
        <v>0.045317933641502</v>
      </c>
      <c r="AE81" s="1">
        <f t="shared" si="76"/>
        <v>0.112238296616355</v>
      </c>
      <c r="AF81" s="2">
        <f t="shared" si="77"/>
        <v>0.0713190555047891</v>
      </c>
      <c r="AG81" s="7">
        <f t="shared" si="78"/>
        <v>0.0752152109514315</v>
      </c>
      <c r="AH81" s="1">
        <f t="shared" si="79"/>
        <v>22.5426392436955</v>
      </c>
      <c r="AI81" s="1">
        <f t="shared" si="80"/>
        <v>0.252856810985574</v>
      </c>
      <c r="AJ81" s="1">
        <f t="shared" si="81"/>
        <v>0.168464292219047</v>
      </c>
      <c r="AK81" s="2">
        <f t="shared" si="82"/>
        <v>0.0849444586847633</v>
      </c>
      <c r="AL81" s="2">
        <f t="shared" si="83"/>
        <v>0.0932458943241544</v>
      </c>
      <c r="AM81" s="1">
        <f t="shared" si="84"/>
        <v>2.96583125629065</v>
      </c>
      <c r="AN81" s="1">
        <f t="shared" si="85"/>
        <v>0.103514190227598</v>
      </c>
      <c r="AO81" s="1">
        <f t="shared" si="86"/>
        <v>0.406044347908152</v>
      </c>
      <c r="AP81" s="1">
        <f t="shared" si="87"/>
        <v>2.36725476549674</v>
      </c>
      <c r="AQ81" s="1">
        <f t="shared" si="88"/>
        <v>0.056089948517498</v>
      </c>
      <c r="AR81" s="1">
        <f t="shared" si="89"/>
        <v>0.185508733606766</v>
      </c>
      <c r="AS81" s="1">
        <f t="shared" si="90"/>
        <v>0.437794408108308</v>
      </c>
      <c r="AT81" s="1">
        <f t="shared" si="91"/>
        <v>0.233695133355617</v>
      </c>
      <c r="AU81" s="2">
        <f t="shared" si="92"/>
        <v>0.340148056861697</v>
      </c>
      <c r="AV81" s="2">
        <f t="shared" si="93"/>
        <v>0.157900902744689</v>
      </c>
      <c r="AW81" s="2">
        <f t="shared" si="94"/>
        <v>0.468307432756709</v>
      </c>
      <c r="AX81" s="2">
        <f t="shared" si="95"/>
        <v>-0.010772014875996</v>
      </c>
      <c r="AY81" s="11">
        <f t="shared" si="96"/>
        <v>1.46765833878418</v>
      </c>
      <c r="AZ81" s="2">
        <f t="shared" si="97"/>
        <v>0.0823135883653607</v>
      </c>
      <c r="BA81" s="1">
        <f t="shared" si="98"/>
        <v>1.85136162554785</v>
      </c>
      <c r="BB81" s="2">
        <f t="shared" si="99"/>
        <v>0.031366970652443</v>
      </c>
      <c r="BC81" s="1">
        <f t="shared" si="100"/>
        <v>0.534921888355026</v>
      </c>
      <c r="BD81" s="1">
        <f t="shared" si="101"/>
        <v>0.0240745968747957</v>
      </c>
      <c r="BE81" s="2">
        <f t="shared" si="102"/>
        <v>-0.0222424952435339</v>
      </c>
      <c r="BF81" s="1">
        <f t="shared" si="103"/>
        <v>0.384807300298557</v>
      </c>
    </row>
    <row r="82" s="3" customFormat="1" spans="1:58">
      <c r="A82" s="8">
        <v>180.5</v>
      </c>
      <c r="B82" s="9">
        <v>0.0994602540793</v>
      </c>
      <c r="C82" s="9">
        <v>0.142443816623</v>
      </c>
      <c r="D82" s="6">
        <v>0.090382356562</v>
      </c>
      <c r="E82" s="10">
        <v>0.19419000369324</v>
      </c>
      <c r="F82" s="9">
        <v>0.23591451634</v>
      </c>
      <c r="G82" s="1">
        <f t="shared" si="52"/>
        <v>1.6561934517971</v>
      </c>
      <c r="H82" s="1">
        <f t="shared" si="53"/>
        <v>0.093470699717</v>
      </c>
      <c r="I82" s="1">
        <f t="shared" si="54"/>
        <v>0.247042794022831</v>
      </c>
      <c r="J82" s="1">
        <f t="shared" si="55"/>
        <v>-0.668414032532077</v>
      </c>
      <c r="K82" s="1">
        <f t="shared" si="56"/>
        <v>0.656193451797103</v>
      </c>
      <c r="L82" s="1">
        <f t="shared" si="57"/>
        <v>0.402626208475606</v>
      </c>
      <c r="M82" s="1">
        <f t="shared" si="58"/>
        <v>0.15962283764365</v>
      </c>
      <c r="N82" s="1">
        <f t="shared" si="59"/>
        <v>0.140407357755037</v>
      </c>
      <c r="O82" s="1">
        <f t="shared" si="60"/>
        <v>0.201401195138874</v>
      </c>
      <c r="P82" s="1">
        <f t="shared" si="61"/>
        <v>0.151958095596637</v>
      </c>
      <c r="Q82" s="2">
        <f t="shared" si="62"/>
        <v>0.44601150628161</v>
      </c>
      <c r="R82" s="1">
        <f t="shared" si="63"/>
        <v>2.61018328481144</v>
      </c>
      <c r="S82" s="2">
        <f t="shared" si="64"/>
        <v>0.347148654966779</v>
      </c>
      <c r="T82" s="1">
        <f t="shared" si="65"/>
        <v>-0.522971751057854</v>
      </c>
      <c r="U82" s="1">
        <f t="shared" si="66"/>
        <v>0.264188631018685</v>
      </c>
      <c r="V82" s="2">
        <f t="shared" si="67"/>
        <v>0.235408916167598</v>
      </c>
      <c r="W82" s="2">
        <f t="shared" si="68"/>
        <v>0.145532159778</v>
      </c>
      <c r="X82" s="1">
        <f t="shared" si="69"/>
        <v>0.254772482413234</v>
      </c>
      <c r="Y82" s="2">
        <f t="shared" si="70"/>
        <v>0.972631228308864</v>
      </c>
      <c r="Z82" s="1">
        <f t="shared" si="71"/>
        <v>0.615606166369589</v>
      </c>
      <c r="AA82" s="1">
        <f t="shared" si="72"/>
        <v>2.8326252457935</v>
      </c>
      <c r="AB82" s="1">
        <f t="shared" si="73"/>
        <v>0.163148436451</v>
      </c>
      <c r="AC82" s="2">
        <f t="shared" si="74"/>
        <v>1.21486436919107</v>
      </c>
      <c r="AD82" s="2">
        <f t="shared" si="75"/>
        <v>0.04172451264676</v>
      </c>
      <c r="AE82" s="1">
        <f t="shared" si="76"/>
        <v>0.0970101700943188</v>
      </c>
      <c r="AF82" s="2">
        <f t="shared" si="77"/>
        <v>0.0636215534938023</v>
      </c>
      <c r="AG82" s="7">
        <f t="shared" si="78"/>
        <v>0.0672900385086863</v>
      </c>
      <c r="AH82" s="1">
        <f t="shared" si="79"/>
        <v>19.4632440265972</v>
      </c>
      <c r="AI82" s="1">
        <f t="shared" si="80"/>
        <v>0.214864369191072</v>
      </c>
      <c r="AJ82" s="1">
        <f t="shared" si="81"/>
        <v>0.144374613427827</v>
      </c>
      <c r="AK82" s="2">
        <f t="shared" si="82"/>
        <v>0.0757436836839668</v>
      </c>
      <c r="AL82" s="2">
        <f t="shared" si="83"/>
        <v>0.0820201049595675</v>
      </c>
      <c r="AM82" s="1">
        <f t="shared" si="84"/>
        <v>2.61018328481144</v>
      </c>
      <c r="AN82" s="1">
        <f t="shared" si="85"/>
        <v>0.10380764713124</v>
      </c>
      <c r="AO82" s="1">
        <f t="shared" si="86"/>
        <v>0.364784714292465</v>
      </c>
      <c r="AP82" s="1">
        <f t="shared" si="87"/>
        <v>2.14853884187043</v>
      </c>
      <c r="AQ82" s="1">
        <f t="shared" si="88"/>
        <v>0.05174618707024</v>
      </c>
      <c r="AR82" s="1">
        <f t="shared" si="89"/>
        <v>0.153716542864376</v>
      </c>
      <c r="AS82" s="1">
        <f t="shared" si="90"/>
        <v>0.401940645027907</v>
      </c>
      <c r="AT82" s="1">
        <f t="shared" si="91"/>
        <v>0.248789154562724</v>
      </c>
      <c r="AU82" s="2">
        <f t="shared" si="92"/>
        <v>0.339167876772354</v>
      </c>
      <c r="AV82" s="2">
        <f t="shared" si="93"/>
        <v>0.173649635804913</v>
      </c>
      <c r="AW82" s="2">
        <f t="shared" si="94"/>
        <v>0.453257376791578</v>
      </c>
      <c r="AX82" s="2">
        <f t="shared" si="95"/>
        <v>-0.01002167442348</v>
      </c>
      <c r="AY82" s="11">
        <f t="shared" si="96"/>
        <v>1.55698160192045</v>
      </c>
      <c r="AZ82" s="2">
        <f t="shared" si="97"/>
        <v>0.0782691178543747</v>
      </c>
      <c r="BA82" s="1">
        <f t="shared" si="98"/>
        <v>2.24913336953219</v>
      </c>
      <c r="BB82" s="2">
        <f t="shared" si="99"/>
        <v>0.0279787792065027</v>
      </c>
      <c r="BC82" s="1">
        <f t="shared" si="100"/>
        <v>0.558769838953484</v>
      </c>
      <c r="BD82" s="1">
        <f t="shared" si="101"/>
        <v>0.0190924366488514</v>
      </c>
      <c r="BE82" s="2">
        <f t="shared" si="102"/>
        <v>-0.0206407536182401</v>
      </c>
      <c r="BF82" s="1">
        <f t="shared" si="103"/>
        <v>0.392685690258804</v>
      </c>
    </row>
    <row r="83" s="3" customFormat="1" spans="1:58">
      <c r="A83" s="8">
        <v>167</v>
      </c>
      <c r="B83" s="9">
        <v>0.152998591669</v>
      </c>
      <c r="C83" s="9">
        <v>0.193174204004</v>
      </c>
      <c r="D83" s="6">
        <v>0.159714084781</v>
      </c>
      <c r="E83" s="10">
        <v>0.26490836647662</v>
      </c>
      <c r="F83" s="9">
        <v>0.206408017634</v>
      </c>
      <c r="G83" s="1">
        <f t="shared" si="52"/>
        <v>1.06850714720546</v>
      </c>
      <c r="H83" s="1">
        <f t="shared" si="53"/>
        <v>0.01323381363</v>
      </c>
      <c r="I83" s="1">
        <f t="shared" si="54"/>
        <v>0.0331191252097024</v>
      </c>
      <c r="J83" s="1">
        <f t="shared" si="55"/>
        <v>-0.772702557671085</v>
      </c>
      <c r="K83" s="1">
        <f t="shared" si="56"/>
        <v>0.0685071472054619</v>
      </c>
      <c r="L83" s="1">
        <f t="shared" si="57"/>
        <v>0.0476329380372154</v>
      </c>
      <c r="M83" s="1">
        <f t="shared" si="58"/>
        <v>0.0220665993252455</v>
      </c>
      <c r="N83" s="1">
        <f t="shared" si="59"/>
        <v>0.0189891787027429</v>
      </c>
      <c r="O83" s="1">
        <f t="shared" si="60"/>
        <v>0.0274333658525893</v>
      </c>
      <c r="P83" s="1">
        <f t="shared" si="61"/>
        <v>0.0209354324200346</v>
      </c>
      <c r="Q83" s="2">
        <f t="shared" si="62"/>
        <v>0.127536503655473</v>
      </c>
      <c r="R83" s="1">
        <f t="shared" si="63"/>
        <v>1.29235951805394</v>
      </c>
      <c r="S83" s="2">
        <f t="shared" si="64"/>
        <v>0.102951314648924</v>
      </c>
      <c r="T83" s="1">
        <f t="shared" si="65"/>
        <v>-0.731477091985605</v>
      </c>
      <c r="U83" s="1">
        <f t="shared" si="66"/>
        <v>0.080867234636093</v>
      </c>
      <c r="V83" s="2">
        <f t="shared" si="67"/>
        <v>0.0695215115188228</v>
      </c>
      <c r="W83" s="2">
        <f t="shared" si="68"/>
        <v>0.046693932853</v>
      </c>
      <c r="X83" s="1">
        <f t="shared" si="69"/>
        <v>0.0771698188283155</v>
      </c>
      <c r="Y83" s="2">
        <f t="shared" si="70"/>
        <v>0.792172016455689</v>
      </c>
      <c r="Z83" s="1">
        <f t="shared" si="71"/>
        <v>0.13681991452206</v>
      </c>
      <c r="AA83" s="1">
        <f t="shared" si="72"/>
        <v>2.47948379226178</v>
      </c>
      <c r="AB83" s="1">
        <f t="shared" si="73"/>
        <v>0.1830610512075</v>
      </c>
      <c r="AC83" s="2">
        <f t="shared" si="74"/>
        <v>0.77916760568684</v>
      </c>
      <c r="AD83" s="2">
        <f t="shared" si="75"/>
        <v>-0.05850034884262</v>
      </c>
      <c r="AE83" s="1">
        <f t="shared" si="76"/>
        <v>-0.124121186563482</v>
      </c>
      <c r="AF83" s="2">
        <f t="shared" si="77"/>
        <v>-0.0852122802929462</v>
      </c>
      <c r="AG83" s="7">
        <f t="shared" si="78"/>
        <v>-0.0903418543117424</v>
      </c>
      <c r="AH83" s="1">
        <f t="shared" si="79"/>
        <v>-24.952910132855</v>
      </c>
      <c r="AI83" s="1">
        <f t="shared" si="80"/>
        <v>-0.22083239431316</v>
      </c>
      <c r="AJ83" s="1">
        <f t="shared" si="81"/>
        <v>-0.165559592938024</v>
      </c>
      <c r="AK83" s="2">
        <f t="shared" si="82"/>
        <v>-0.101314263911816</v>
      </c>
      <c r="AL83" s="2">
        <f t="shared" si="83"/>
        <v>-0.107490327140866</v>
      </c>
      <c r="AM83" s="1">
        <f t="shared" si="84"/>
        <v>1.29235951805394</v>
      </c>
      <c r="AN83" s="1">
        <f t="shared" si="85"/>
        <v>0.10519428169562</v>
      </c>
      <c r="AO83" s="1">
        <f t="shared" si="86"/>
        <v>0.24773603323155</v>
      </c>
      <c r="AP83" s="1">
        <f t="shared" si="87"/>
        <v>1.65864123279961</v>
      </c>
      <c r="AQ83" s="1">
        <f t="shared" si="88"/>
        <v>0.07173416247262</v>
      </c>
      <c r="AR83" s="1">
        <f t="shared" si="89"/>
        <v>0.156596576895202</v>
      </c>
      <c r="AS83" s="1">
        <f t="shared" si="90"/>
        <v>-0.556117194771965</v>
      </c>
      <c r="AT83" s="1">
        <f t="shared" si="91"/>
        <v>0.290710218412723</v>
      </c>
      <c r="AU83" s="2">
        <f t="shared" si="92"/>
        <v>0.398663835447621</v>
      </c>
      <c r="AV83" s="2">
        <f t="shared" si="93"/>
        <v>0.253100432791354</v>
      </c>
      <c r="AW83" s="2">
        <f t="shared" si="94"/>
        <v>0.327096753341479</v>
      </c>
      <c r="AX83" s="2">
        <f t="shared" si="95"/>
        <v>-0.13023451131524</v>
      </c>
      <c r="AY83" s="11">
        <f t="shared" si="96"/>
        <v>3.52838071915632</v>
      </c>
      <c r="AZ83" s="2">
        <f t="shared" si="97"/>
        <v>-0.108571091648672</v>
      </c>
      <c r="BA83" s="1">
        <f t="shared" si="98"/>
        <v>3.85848968285913</v>
      </c>
      <c r="BB83" s="2">
        <f t="shared" si="99"/>
        <v>-0.0476438485155877</v>
      </c>
      <c r="BC83" s="1">
        <f t="shared" si="100"/>
        <v>0.421866326395241</v>
      </c>
      <c r="BD83" s="1">
        <f t="shared" si="101"/>
        <v>-0.197330486444565</v>
      </c>
      <c r="BE83" s="2">
        <f t="shared" si="102"/>
        <v>-0.19614579579066</v>
      </c>
      <c r="BF83" s="1">
        <f t="shared" si="103"/>
        <v>-3.74771935483127</v>
      </c>
    </row>
    <row r="84" s="3" customFormat="1" spans="1:58">
      <c r="A84" s="8">
        <v>158.5</v>
      </c>
      <c r="B84" s="9">
        <v>0.130678266686</v>
      </c>
      <c r="C84" s="9">
        <v>0.169758018723</v>
      </c>
      <c r="D84" s="6">
        <v>0.134097050123</v>
      </c>
      <c r="E84" s="10">
        <v>0.23877899112546</v>
      </c>
      <c r="F84" s="9">
        <v>0.208463087655</v>
      </c>
      <c r="G84" s="1">
        <f t="shared" si="52"/>
        <v>1.22800141768358</v>
      </c>
      <c r="H84" s="1">
        <f t="shared" si="53"/>
        <v>0.038705068932</v>
      </c>
      <c r="I84" s="1">
        <f t="shared" si="54"/>
        <v>0.102334502964828</v>
      </c>
      <c r="J84" s="1">
        <f t="shared" si="55"/>
        <v>-0.743131801226189</v>
      </c>
      <c r="K84" s="1">
        <f t="shared" si="56"/>
        <v>0.228001417683582</v>
      </c>
      <c r="L84" s="1">
        <f t="shared" si="57"/>
        <v>0.152749506558697</v>
      </c>
      <c r="M84" s="1">
        <f t="shared" si="58"/>
        <v>0.0661081850303551</v>
      </c>
      <c r="N84" s="1">
        <f t="shared" si="59"/>
        <v>0.0569189151650173</v>
      </c>
      <c r="O84" s="1">
        <f t="shared" si="60"/>
        <v>0.0834190250606553</v>
      </c>
      <c r="P84" s="1">
        <f t="shared" si="61"/>
        <v>0.0629353953779241</v>
      </c>
      <c r="Q84" s="2">
        <f t="shared" si="62"/>
        <v>0.217088999363358</v>
      </c>
      <c r="R84" s="1">
        <f t="shared" si="63"/>
        <v>1.5545687803258</v>
      </c>
      <c r="S84" s="2">
        <f t="shared" si="64"/>
        <v>0.171650310186811</v>
      </c>
      <c r="T84" s="1">
        <f t="shared" si="65"/>
        <v>-0.685561454299123</v>
      </c>
      <c r="U84" s="1">
        <f t="shared" si="66"/>
        <v>0.132392990478018</v>
      </c>
      <c r="V84" s="2">
        <f t="shared" si="67"/>
        <v>0.11416697332675</v>
      </c>
      <c r="W84" s="2">
        <f t="shared" si="68"/>
        <v>0.074366037532</v>
      </c>
      <c r="X84" s="1">
        <f t="shared" si="69"/>
        <v>0.12705923293661</v>
      </c>
      <c r="Y84" s="2">
        <f t="shared" si="70"/>
        <v>0.846811076547395</v>
      </c>
      <c r="Z84" s="1">
        <f t="shared" si="71"/>
        <v>0.246823476008453</v>
      </c>
      <c r="AA84" s="1">
        <f t="shared" si="72"/>
        <v>2.59034426745973</v>
      </c>
      <c r="AB84" s="1">
        <f t="shared" si="73"/>
        <v>0.171280068889</v>
      </c>
      <c r="AC84" s="2">
        <f t="shared" si="74"/>
        <v>0.873037810707009</v>
      </c>
      <c r="AD84" s="2">
        <f t="shared" si="75"/>
        <v>-0.03031590347046</v>
      </c>
      <c r="AE84" s="1">
        <f t="shared" si="76"/>
        <v>-0.0677841037523245</v>
      </c>
      <c r="AF84" s="2">
        <f t="shared" si="77"/>
        <v>-0.0453314057380434</v>
      </c>
      <c r="AG84" s="7">
        <f t="shared" si="78"/>
        <v>-0.0480065827145643</v>
      </c>
      <c r="AH84" s="1">
        <f t="shared" si="79"/>
        <v>-13.5776412846752</v>
      </c>
      <c r="AI84" s="1">
        <f t="shared" si="80"/>
        <v>-0.126962189292991</v>
      </c>
      <c r="AJ84" s="1">
        <f t="shared" si="81"/>
        <v>-0.0927686273028676</v>
      </c>
      <c r="AK84" s="2">
        <f t="shared" si="82"/>
        <v>-0.0539710498595551</v>
      </c>
      <c r="AL84" s="2">
        <f t="shared" si="83"/>
        <v>-0.0579117443513784</v>
      </c>
      <c r="AM84" s="1">
        <f t="shared" si="84"/>
        <v>1.5545687803258</v>
      </c>
      <c r="AN84" s="1">
        <f t="shared" si="85"/>
        <v>0.10468194100246</v>
      </c>
      <c r="AO84" s="1">
        <f t="shared" si="86"/>
        <v>0.280741934107552</v>
      </c>
      <c r="AP84" s="1">
        <f t="shared" si="87"/>
        <v>1.78064313052704</v>
      </c>
      <c r="AQ84" s="1">
        <f t="shared" si="88"/>
        <v>0.06902097240246</v>
      </c>
      <c r="AR84" s="1">
        <f t="shared" si="89"/>
        <v>0.168946682279929</v>
      </c>
      <c r="AS84" s="1">
        <f t="shared" si="90"/>
        <v>-0.289600127587886</v>
      </c>
      <c r="AT84" s="1">
        <f t="shared" si="91"/>
        <v>0.275134508746245</v>
      </c>
      <c r="AU84" s="2">
        <f t="shared" si="92"/>
        <v>0.386999924459689</v>
      </c>
      <c r="AV84" s="2">
        <f t="shared" si="93"/>
        <v>0.230669231530893</v>
      </c>
      <c r="AW84" s="2">
        <f t="shared" si="94"/>
        <v>0.358591185919671</v>
      </c>
      <c r="AX84" s="2">
        <f t="shared" si="95"/>
        <v>-0.09933687587292</v>
      </c>
      <c r="AY84" s="11">
        <f t="shared" si="96"/>
        <v>1.9213513781012</v>
      </c>
      <c r="AZ84" s="2">
        <f t="shared" si="97"/>
        <v>-0.0554038186645229</v>
      </c>
      <c r="BA84" s="1">
        <f t="shared" si="98"/>
        <v>2.87024502288688</v>
      </c>
      <c r="BB84" s="2">
        <f t="shared" si="99"/>
        <v>-0.0332251277241869</v>
      </c>
      <c r="BC84" s="1">
        <f t="shared" si="100"/>
        <v>0.447551989085943</v>
      </c>
      <c r="BD84" s="1">
        <f t="shared" si="101"/>
        <v>-0.129902327970116</v>
      </c>
      <c r="BE84" s="2">
        <f t="shared" si="102"/>
        <v>-0.1513276179453</v>
      </c>
      <c r="BF84" s="1">
        <f t="shared" si="103"/>
        <v>-0.662377807958101</v>
      </c>
    </row>
    <row r="85" s="3" customFormat="1" spans="1:58">
      <c r="A85" s="8">
        <v>184.5</v>
      </c>
      <c r="B85" s="9">
        <v>0.122287083995</v>
      </c>
      <c r="C85" s="9">
        <v>0.161997275528</v>
      </c>
      <c r="D85" s="6">
        <v>0.121607637621</v>
      </c>
      <c r="E85" s="10">
        <v>0.22603979037342</v>
      </c>
      <c r="F85" s="9">
        <v>0.208699919637</v>
      </c>
      <c r="G85" s="1">
        <f t="shared" si="52"/>
        <v>1.28829277502835</v>
      </c>
      <c r="H85" s="1">
        <f t="shared" si="53"/>
        <v>0.046702644109</v>
      </c>
      <c r="I85" s="1">
        <f t="shared" si="54"/>
        <v>0.125985965683426</v>
      </c>
      <c r="J85" s="1">
        <f t="shared" si="55"/>
        <v>-0.732208930066663</v>
      </c>
      <c r="K85" s="1">
        <f t="shared" si="56"/>
        <v>0.288292775028354</v>
      </c>
      <c r="L85" s="1">
        <f t="shared" si="57"/>
        <v>0.190580281407867</v>
      </c>
      <c r="M85" s="1">
        <f t="shared" si="58"/>
        <v>0.0804573238004109</v>
      </c>
      <c r="N85" s="1">
        <f t="shared" si="59"/>
        <v>0.0692859004948715</v>
      </c>
      <c r="O85" s="1">
        <f t="shared" si="60"/>
        <v>0.102082821729624</v>
      </c>
      <c r="P85" s="1">
        <f t="shared" si="61"/>
        <v>0.0767064385696646</v>
      </c>
      <c r="Q85" s="2">
        <f t="shared" si="62"/>
        <v>0.263670267610538</v>
      </c>
      <c r="R85" s="1">
        <f t="shared" si="63"/>
        <v>1.7161744419987</v>
      </c>
      <c r="S85" s="2">
        <f t="shared" si="64"/>
        <v>0.206048317312392</v>
      </c>
      <c r="T85" s="1">
        <f t="shared" si="65"/>
        <v>-0.658456019863719</v>
      </c>
      <c r="U85" s="1">
        <f t="shared" si="66"/>
        <v>0.157337388877224</v>
      </c>
      <c r="V85" s="2">
        <f t="shared" si="67"/>
        <v>0.135925084242244</v>
      </c>
      <c r="W85" s="2">
        <f t="shared" si="68"/>
        <v>0.087092282016</v>
      </c>
      <c r="X85" s="1">
        <f t="shared" si="69"/>
        <v>0.151537603603763</v>
      </c>
      <c r="Y85" s="2">
        <f t="shared" si="70"/>
        <v>0.873882296199287</v>
      </c>
      <c r="Z85" s="1">
        <f t="shared" si="71"/>
        <v>0.310028412668482</v>
      </c>
      <c r="AA85" s="1">
        <f t="shared" si="72"/>
        <v>2.64719293842815</v>
      </c>
      <c r="AB85" s="1">
        <f t="shared" si="73"/>
        <v>0.165153778629</v>
      </c>
      <c r="AC85" s="2">
        <f t="shared" si="74"/>
        <v>0.923288414363797</v>
      </c>
      <c r="AD85" s="2">
        <f t="shared" si="75"/>
        <v>-0.01733987073642</v>
      </c>
      <c r="AE85" s="1">
        <f t="shared" si="76"/>
        <v>-0.0398856380890635</v>
      </c>
      <c r="AF85" s="2">
        <f t="shared" si="77"/>
        <v>-0.0262985134314469</v>
      </c>
      <c r="AG85" s="7">
        <f t="shared" si="78"/>
        <v>-0.0278257207071475</v>
      </c>
      <c r="AH85" s="1">
        <f t="shared" si="79"/>
        <v>-7.98136183557181</v>
      </c>
      <c r="AI85" s="1">
        <f t="shared" si="80"/>
        <v>-0.0767115856362032</v>
      </c>
      <c r="AJ85" s="1">
        <f t="shared" si="81"/>
        <v>-0.0553144695529461</v>
      </c>
      <c r="AK85" s="2">
        <f t="shared" si="82"/>
        <v>-0.0313255080930789</v>
      </c>
      <c r="AL85" s="2">
        <f t="shared" si="83"/>
        <v>-0.0338202573591308</v>
      </c>
      <c r="AM85" s="1">
        <f t="shared" si="84"/>
        <v>1.7161744419987</v>
      </c>
      <c r="AN85" s="1">
        <f t="shared" si="85"/>
        <v>0.10443215275242</v>
      </c>
      <c r="AO85" s="1">
        <f t="shared" si="86"/>
        <v>0.300396736299445</v>
      </c>
      <c r="AP85" s="1">
        <f t="shared" si="87"/>
        <v>1.85876310728025</v>
      </c>
      <c r="AQ85" s="1">
        <f t="shared" si="88"/>
        <v>0.06404251484542</v>
      </c>
      <c r="AR85" s="1">
        <f t="shared" si="89"/>
        <v>0.165042261353687</v>
      </c>
      <c r="AS85" s="1">
        <f t="shared" si="90"/>
        <v>-0.166039579568259</v>
      </c>
      <c r="AT85" s="1">
        <f t="shared" si="91"/>
        <v>0.271471820004309</v>
      </c>
      <c r="AU85" s="2">
        <f t="shared" si="92"/>
        <v>0.378792995660342</v>
      </c>
      <c r="AV85" s="2">
        <f t="shared" si="93"/>
        <v>0.218582218714135</v>
      </c>
      <c r="AW85" s="2">
        <f t="shared" si="94"/>
        <v>0.375125217232569</v>
      </c>
      <c r="AX85" s="2">
        <f t="shared" si="95"/>
        <v>-0.08138238558184</v>
      </c>
      <c r="AY85" s="11">
        <f t="shared" si="96"/>
        <v>1.86482550779639</v>
      </c>
      <c r="AZ85" s="2">
        <f t="shared" si="97"/>
        <v>-0.0321118447130746</v>
      </c>
      <c r="BA85" s="1">
        <f t="shared" si="98"/>
        <v>2.76901205628132</v>
      </c>
      <c r="BB85" s="2">
        <f t="shared" si="99"/>
        <v>-0.0246337038027015</v>
      </c>
      <c r="BC85" s="1">
        <f t="shared" si="100"/>
        <v>0.457454331016059</v>
      </c>
      <c r="BD85" s="1">
        <f t="shared" si="101"/>
        <v>-0.100266389188786</v>
      </c>
      <c r="BE85" s="2">
        <f t="shared" si="102"/>
        <v>-0.1248757370193</v>
      </c>
      <c r="BF85" s="1">
        <f t="shared" si="103"/>
        <v>-0.316587945908888</v>
      </c>
    </row>
    <row r="86" s="3" customFormat="1" spans="1:58">
      <c r="A86" s="8">
        <v>202</v>
      </c>
      <c r="B86" s="9">
        <v>0.1193641998</v>
      </c>
      <c r="C86" s="9">
        <v>0.166953203515</v>
      </c>
      <c r="D86" s="6">
        <v>0.109972477722</v>
      </c>
      <c r="E86" s="10">
        <v>0.21417192727644</v>
      </c>
      <c r="F86" s="9">
        <v>0.251499173569</v>
      </c>
      <c r="G86" s="1">
        <f t="shared" si="52"/>
        <v>1.50640519782781</v>
      </c>
      <c r="H86" s="1">
        <f t="shared" si="53"/>
        <v>0.084545970054</v>
      </c>
      <c r="I86" s="1">
        <f t="shared" si="54"/>
        <v>0.202044425325437</v>
      </c>
      <c r="J86" s="1">
        <f t="shared" si="55"/>
        <v>-0.69381194570217</v>
      </c>
      <c r="K86" s="1">
        <f t="shared" si="56"/>
        <v>0.506405197827809</v>
      </c>
      <c r="L86" s="1">
        <f t="shared" si="57"/>
        <v>0.319869265758581</v>
      </c>
      <c r="M86" s="1">
        <f t="shared" si="58"/>
        <v>0.138078966580323</v>
      </c>
      <c r="N86" s="1">
        <f t="shared" si="59"/>
        <v>0.122484811438142</v>
      </c>
      <c r="O86" s="1">
        <f t="shared" si="60"/>
        <v>0.169544337871047</v>
      </c>
      <c r="P86" s="1">
        <f t="shared" si="61"/>
        <v>0.130698285884483</v>
      </c>
      <c r="Q86" s="2">
        <f t="shared" si="62"/>
        <v>0.391529170659817</v>
      </c>
      <c r="R86" s="1">
        <f t="shared" si="63"/>
        <v>2.28692831859955</v>
      </c>
      <c r="S86" s="2">
        <f t="shared" si="64"/>
        <v>0.314822419926537</v>
      </c>
      <c r="T86" s="1">
        <f t="shared" si="65"/>
        <v>-0.569327311595316</v>
      </c>
      <c r="U86" s="1">
        <f t="shared" si="66"/>
        <v>0.246427196359117</v>
      </c>
      <c r="V86" s="2">
        <f t="shared" si="67"/>
        <v>0.220747238875503</v>
      </c>
      <c r="W86" s="2">
        <f t="shared" si="68"/>
        <v>0.141526695847</v>
      </c>
      <c r="X86" s="1">
        <f t="shared" si="69"/>
        <v>0.235397174688228</v>
      </c>
      <c r="Y86" s="2">
        <f t="shared" si="70"/>
        <v>0.944208224206831</v>
      </c>
      <c r="Z86" s="1">
        <f t="shared" si="71"/>
        <v>0.512259342374697</v>
      </c>
      <c r="AA86" s="1">
        <f t="shared" si="72"/>
        <v>2.75319809647668</v>
      </c>
      <c r="AB86" s="1">
        <f t="shared" si="73"/>
        <v>0.1807358256455</v>
      </c>
      <c r="AC86" s="2">
        <f t="shared" si="74"/>
        <v>1.17428636314404</v>
      </c>
      <c r="AD86" s="2">
        <f t="shared" si="75"/>
        <v>0.03732724629256</v>
      </c>
      <c r="AE86" s="1">
        <f t="shared" si="76"/>
        <v>0.0801579617562507</v>
      </c>
      <c r="AF86" s="2">
        <f t="shared" si="77"/>
        <v>0.0546998718534621</v>
      </c>
      <c r="AG86" s="7">
        <f t="shared" si="78"/>
        <v>0.0579813037687679</v>
      </c>
      <c r="AH86" s="1">
        <f t="shared" si="79"/>
        <v>16.0660612568372</v>
      </c>
      <c r="AI86" s="1">
        <f t="shared" si="80"/>
        <v>0.174286363144037</v>
      </c>
      <c r="AJ86" s="1">
        <f t="shared" si="81"/>
        <v>0.118196614298108</v>
      </c>
      <c r="AK86" s="2">
        <f t="shared" si="82"/>
        <v>0.0649944421907931</v>
      </c>
      <c r="AL86" s="2">
        <f t="shared" si="83"/>
        <v>0.0692050594007951</v>
      </c>
      <c r="AM86" s="1">
        <f t="shared" si="84"/>
        <v>2.28692831859955</v>
      </c>
      <c r="AN86" s="1">
        <f t="shared" si="85"/>
        <v>0.10419944955444</v>
      </c>
      <c r="AO86" s="1">
        <f t="shared" si="86"/>
        <v>0.321459966445947</v>
      </c>
      <c r="AP86" s="1">
        <f t="shared" si="87"/>
        <v>1.94750479131557</v>
      </c>
      <c r="AQ86" s="1">
        <f t="shared" si="88"/>
        <v>0.04721872376144</v>
      </c>
      <c r="AR86" s="1">
        <f t="shared" si="89"/>
        <v>0.123892968336636</v>
      </c>
      <c r="AS86" s="1">
        <f t="shared" si="90"/>
        <v>0.358228824165314</v>
      </c>
      <c r="AT86" s="1">
        <f t="shared" si="91"/>
        <v>0.263905768975765</v>
      </c>
      <c r="AU86" s="2">
        <f t="shared" si="92"/>
        <v>0.338545208902399</v>
      </c>
      <c r="AV86" s="2">
        <f t="shared" si="93"/>
        <v>0.191042655241078</v>
      </c>
      <c r="AW86" s="2">
        <f t="shared" si="94"/>
        <v>0.436900858331273</v>
      </c>
      <c r="AX86" s="2">
        <f t="shared" si="95"/>
        <v>-0.00989147746888006</v>
      </c>
      <c r="AY86" s="11">
        <f t="shared" si="96"/>
        <v>1.67396146447437</v>
      </c>
      <c r="AZ86" s="2">
        <f t="shared" si="97"/>
        <v>0.0726560608438921</v>
      </c>
      <c r="BA86" s="1">
        <f t="shared" si="98"/>
        <v>2.81739851983824</v>
      </c>
      <c r="BB86" s="2">
        <f t="shared" si="99"/>
        <v>0.0239766403564327</v>
      </c>
      <c r="BC86" s="1">
        <f t="shared" si="100"/>
        <v>0.591558961502119</v>
      </c>
      <c r="BD86" s="1">
        <f t="shared" si="101"/>
        <v>0.0122660175053003</v>
      </c>
      <c r="BE86" s="2">
        <f t="shared" si="102"/>
        <v>-0.0199099744065601</v>
      </c>
      <c r="BF86" s="1">
        <f t="shared" si="103"/>
        <v>0.396734340119202</v>
      </c>
    </row>
    <row r="87" s="3" customFormat="1" spans="1:58">
      <c r="A87" s="8">
        <v>226</v>
      </c>
      <c r="B87" s="9">
        <v>0.101816765295</v>
      </c>
      <c r="C87" s="9">
        <v>0.138884117608</v>
      </c>
      <c r="D87" s="6">
        <v>0.0853255647125</v>
      </c>
      <c r="E87" s="10">
        <v>0.18903207600675</v>
      </c>
      <c r="F87" s="9">
        <v>0.264966497959</v>
      </c>
      <c r="G87" s="1">
        <f t="shared" si="52"/>
        <v>1.90782432521814</v>
      </c>
      <c r="H87" s="1">
        <f t="shared" si="53"/>
        <v>0.126082380351</v>
      </c>
      <c r="I87" s="1">
        <f t="shared" si="54"/>
        <v>0.312200540226941</v>
      </c>
      <c r="J87" s="1">
        <f t="shared" si="55"/>
        <v>-0.627420182595258</v>
      </c>
      <c r="K87" s="1">
        <f t="shared" si="56"/>
        <v>0.907824325218144</v>
      </c>
      <c r="L87" s="1">
        <f t="shared" si="57"/>
        <v>0.532375097806295</v>
      </c>
      <c r="M87" s="1">
        <f t="shared" si="58"/>
        <v>0.209242066409237</v>
      </c>
      <c r="N87" s="1">
        <f t="shared" si="59"/>
        <v>0.187897193371018</v>
      </c>
      <c r="O87" s="1">
        <f t="shared" si="60"/>
        <v>0.259387073755497</v>
      </c>
      <c r="P87" s="1">
        <f t="shared" si="61"/>
        <v>0.198401076757867</v>
      </c>
      <c r="Q87" s="2">
        <f t="shared" si="62"/>
        <v>0.512831869145049</v>
      </c>
      <c r="R87" s="1">
        <f t="shared" si="63"/>
        <v>3.10535885524802</v>
      </c>
      <c r="S87" s="2">
        <f t="shared" si="64"/>
        <v>0.408361206864561</v>
      </c>
      <c r="T87" s="1">
        <f t="shared" si="65"/>
        <v>-0.457043024840211</v>
      </c>
      <c r="U87" s="1">
        <f t="shared" si="66"/>
        <v>0.316904522221623</v>
      </c>
      <c r="V87" s="2">
        <f t="shared" si="67"/>
        <v>0.289685658342404</v>
      </c>
      <c r="W87" s="2">
        <f t="shared" si="68"/>
        <v>0.1796409332465</v>
      </c>
      <c r="X87" s="1">
        <f t="shared" si="69"/>
        <v>0.303521985318632</v>
      </c>
      <c r="Y87" s="2">
        <f t="shared" si="70"/>
        <v>1.00639548346813</v>
      </c>
      <c r="Z87" s="1">
        <f t="shared" si="71"/>
        <v>0.762202841686513</v>
      </c>
      <c r="AA87" s="1">
        <f t="shared" si="72"/>
        <v>2.89879768051495</v>
      </c>
      <c r="AB87" s="1">
        <f t="shared" si="73"/>
        <v>0.17514603133575</v>
      </c>
      <c r="AC87" s="2">
        <f t="shared" si="74"/>
        <v>1.40170125386307</v>
      </c>
      <c r="AD87" s="2">
        <f t="shared" si="75"/>
        <v>0.07593442195225</v>
      </c>
      <c r="AE87" s="1">
        <f t="shared" si="76"/>
        <v>0.167256961379748</v>
      </c>
      <c r="AF87" s="2">
        <f t="shared" si="77"/>
        <v>0.112696764283013</v>
      </c>
      <c r="AG87" s="7">
        <f t="shared" si="78"/>
        <v>0.119393923677358</v>
      </c>
      <c r="AH87" s="1">
        <f t="shared" si="79"/>
        <v>33.7686680216736</v>
      </c>
      <c r="AI87" s="1">
        <f t="shared" si="80"/>
        <v>0.401701253863067</v>
      </c>
      <c r="AJ87" s="1">
        <f t="shared" si="81"/>
        <v>0.25920519112003</v>
      </c>
      <c r="AK87" s="2">
        <f t="shared" si="82"/>
        <v>0.133955893426209</v>
      </c>
      <c r="AL87" s="2">
        <f t="shared" si="83"/>
        <v>0.143459501698327</v>
      </c>
      <c r="AM87" s="1">
        <f t="shared" si="84"/>
        <v>3.10535885524802</v>
      </c>
      <c r="AN87" s="1">
        <f t="shared" si="85"/>
        <v>0.10370651129425</v>
      </c>
      <c r="AO87" s="1">
        <f t="shared" si="86"/>
        <v>0.377997532791051</v>
      </c>
      <c r="AP87" s="1">
        <f t="shared" si="87"/>
        <v>2.21542132939505</v>
      </c>
      <c r="AQ87" s="1">
        <f t="shared" si="88"/>
        <v>0.05014795839875</v>
      </c>
      <c r="AR87" s="1">
        <f t="shared" si="89"/>
        <v>0.152929191589928</v>
      </c>
      <c r="AS87" s="1">
        <f t="shared" si="90"/>
        <v>0.732204959983647</v>
      </c>
      <c r="AT87" s="1">
        <f t="shared" si="91"/>
        <v>0.234252272130504</v>
      </c>
      <c r="AU87" s="2">
        <f t="shared" si="92"/>
        <v>0.318835544861299</v>
      </c>
      <c r="AV87" s="2">
        <f t="shared" si="93"/>
        <v>0.158208317768998</v>
      </c>
      <c r="AW87" s="2">
        <f t="shared" si="94"/>
        <v>0.491293600557852</v>
      </c>
      <c r="AX87" s="2">
        <f t="shared" si="95"/>
        <v>0.0257864635535</v>
      </c>
      <c r="AY87" s="11">
        <f t="shared" si="96"/>
        <v>1.42479014709588</v>
      </c>
      <c r="AZ87" s="2">
        <f t="shared" si="97"/>
        <v>0.139839505940681</v>
      </c>
      <c r="BA87" s="1">
        <f t="shared" si="98"/>
        <v>2.00704747932485</v>
      </c>
      <c r="BB87" s="2">
        <f t="shared" si="99"/>
        <v>0.0710914083362287</v>
      </c>
      <c r="BC87" s="1">
        <f t="shared" si="100"/>
        <v>0.646682677281457</v>
      </c>
      <c r="BD87" s="1">
        <f t="shared" si="101"/>
        <v>0.0767215130306997</v>
      </c>
      <c r="BE87" s="2">
        <f t="shared" si="102"/>
        <v>0.03111475250919</v>
      </c>
      <c r="BF87" s="1">
        <f t="shared" si="103"/>
        <v>0.535735656505166</v>
      </c>
    </row>
    <row r="88" s="3" customFormat="1" spans="1:58">
      <c r="A88" s="8">
        <v>236</v>
      </c>
      <c r="B88" s="9">
        <v>0.104257537934</v>
      </c>
      <c r="C88" s="9">
        <v>0.14948960777</v>
      </c>
      <c r="D88" s="6">
        <v>0.0920313591045</v>
      </c>
      <c r="E88" s="10">
        <v>0.19587198628659</v>
      </c>
      <c r="F88" s="9">
        <v>0.267266892753</v>
      </c>
      <c r="G88" s="1">
        <f t="shared" si="52"/>
        <v>1.78786269319944</v>
      </c>
      <c r="H88" s="1">
        <f t="shared" si="53"/>
        <v>0.117777284983</v>
      </c>
      <c r="I88" s="1">
        <f t="shared" si="54"/>
        <v>0.282604554062619</v>
      </c>
      <c r="J88" s="1">
        <f t="shared" si="55"/>
        <v>-0.646709205411584</v>
      </c>
      <c r="K88" s="1">
        <f t="shared" si="56"/>
        <v>0.787862693199439</v>
      </c>
      <c r="L88" s="1">
        <f t="shared" si="57"/>
        <v>0.471861828371613</v>
      </c>
      <c r="M88" s="1">
        <f t="shared" si="58"/>
        <v>0.192707580882943</v>
      </c>
      <c r="N88" s="1">
        <f t="shared" si="59"/>
        <v>0.173007761776585</v>
      </c>
      <c r="O88" s="1">
        <f t="shared" si="60"/>
        <v>0.236879255728184</v>
      </c>
      <c r="P88" s="1">
        <f t="shared" si="61"/>
        <v>0.182440119220874</v>
      </c>
      <c r="Q88" s="2">
        <f t="shared" si="62"/>
        <v>0.487716076386588</v>
      </c>
      <c r="R88" s="1">
        <f t="shared" si="63"/>
        <v>2.90408503529241</v>
      </c>
      <c r="S88" s="2">
        <f t="shared" si="64"/>
        <v>0.391438288700498</v>
      </c>
      <c r="T88" s="1">
        <f t="shared" si="65"/>
        <v>-0.483140176857622</v>
      </c>
      <c r="U88" s="1">
        <f t="shared" si="66"/>
        <v>0.305892977094453</v>
      </c>
      <c r="V88" s="2">
        <f t="shared" si="67"/>
        <v>0.279181431570387</v>
      </c>
      <c r="W88" s="2">
        <f t="shared" si="68"/>
        <v>0.1752355336485</v>
      </c>
      <c r="X88" s="1">
        <f t="shared" si="69"/>
        <v>0.292344295163351</v>
      </c>
      <c r="Y88" s="2">
        <f t="shared" si="70"/>
        <v>0.993839059599988</v>
      </c>
      <c r="Z88" s="1">
        <f t="shared" si="71"/>
        <v>0.704137622169174</v>
      </c>
      <c r="AA88" s="1">
        <f t="shared" si="72"/>
        <v>2.86621019660443</v>
      </c>
      <c r="AB88" s="1">
        <f t="shared" si="73"/>
        <v>0.17964912592875</v>
      </c>
      <c r="AC88" s="2">
        <f t="shared" si="74"/>
        <v>1.36449779174623</v>
      </c>
      <c r="AD88" s="2">
        <f t="shared" si="75"/>
        <v>0.07139490646641</v>
      </c>
      <c r="AE88" s="1">
        <f t="shared" si="76"/>
        <v>0.154154422566426</v>
      </c>
      <c r="AF88" s="2">
        <f t="shared" si="77"/>
        <v>0.104908724997082</v>
      </c>
      <c r="AG88" s="7">
        <f t="shared" si="78"/>
        <v>0.11119098401095</v>
      </c>
      <c r="AH88" s="1">
        <f t="shared" si="79"/>
        <v>31.0786442803811</v>
      </c>
      <c r="AI88" s="1">
        <f t="shared" si="80"/>
        <v>0.36449779174623</v>
      </c>
      <c r="AJ88" s="1">
        <f t="shared" si="81"/>
        <v>0.237042077727516</v>
      </c>
      <c r="AK88" s="2">
        <f t="shared" si="82"/>
        <v>0.124627694130785</v>
      </c>
      <c r="AL88" s="2">
        <f t="shared" si="83"/>
        <v>0.132904709185661</v>
      </c>
      <c r="AM88" s="1">
        <f t="shared" si="84"/>
        <v>2.90408503529241</v>
      </c>
      <c r="AN88" s="1">
        <f t="shared" si="85"/>
        <v>0.10384062718209</v>
      </c>
      <c r="AO88" s="1">
        <f t="shared" si="86"/>
        <v>0.360678779334892</v>
      </c>
      <c r="AP88" s="1">
        <f t="shared" si="87"/>
        <v>2.12831787113109</v>
      </c>
      <c r="AQ88" s="1">
        <f t="shared" si="88"/>
        <v>0.04638237851659</v>
      </c>
      <c r="AR88" s="1">
        <f t="shared" si="89"/>
        <v>0.134300916241978</v>
      </c>
      <c r="AS88" s="1">
        <f t="shared" si="90"/>
        <v>0.687543097570234</v>
      </c>
      <c r="AT88" s="1">
        <f t="shared" si="91"/>
        <v>0.244013477970153</v>
      </c>
      <c r="AU88" s="2">
        <f t="shared" si="92"/>
        <v>0.319723928129168</v>
      </c>
      <c r="AV88" s="2">
        <f t="shared" si="93"/>
        <v>0.165771420694591</v>
      </c>
      <c r="AW88" s="2">
        <f t="shared" si="94"/>
        <v>0.481414302118323</v>
      </c>
      <c r="AX88" s="2">
        <f t="shared" si="95"/>
        <v>0.02501252794982</v>
      </c>
      <c r="AY88" s="11">
        <f t="shared" si="96"/>
        <v>1.4878550959448</v>
      </c>
      <c r="AZ88" s="2">
        <f t="shared" si="97"/>
        <v>0.135081853045946</v>
      </c>
      <c r="BA88" s="1">
        <f t="shared" si="98"/>
        <v>2.25618226859569</v>
      </c>
      <c r="BB88" s="2">
        <f t="shared" si="99"/>
        <v>0.0652768231599111</v>
      </c>
      <c r="BC88" s="1">
        <f t="shared" si="100"/>
        <v>0.649316038540624</v>
      </c>
      <c r="BD88" s="1">
        <f t="shared" si="101"/>
        <v>0.0707196201799196</v>
      </c>
      <c r="BE88" s="2">
        <f t="shared" si="102"/>
        <v>0.03045215482575</v>
      </c>
      <c r="BF88" s="1">
        <f t="shared" si="103"/>
        <v>0.545477489128746</v>
      </c>
    </row>
    <row r="89" s="3" customFormat="1" spans="1:58">
      <c r="A89" s="8">
        <v>232</v>
      </c>
      <c r="B89" s="9">
        <v>0.097220138683</v>
      </c>
      <c r="C89" s="9">
        <v>0.140676727504</v>
      </c>
      <c r="D89" s="6">
        <v>0.0850888551627</v>
      </c>
      <c r="E89" s="10">
        <v>0.188790632265954</v>
      </c>
      <c r="F89" s="9">
        <v>0.263040885226</v>
      </c>
      <c r="G89" s="1">
        <f t="shared" si="52"/>
        <v>1.86982516506521</v>
      </c>
      <c r="H89" s="1">
        <f t="shared" si="53"/>
        <v>0.122364157722</v>
      </c>
      <c r="I89" s="1">
        <f t="shared" si="54"/>
        <v>0.303093434280845</v>
      </c>
      <c r="J89" s="1">
        <f t="shared" si="55"/>
        <v>-0.63348110972525</v>
      </c>
      <c r="K89" s="1">
        <f t="shared" si="56"/>
        <v>0.869825165065207</v>
      </c>
      <c r="L89" s="1">
        <f t="shared" si="57"/>
        <v>0.513457200264556</v>
      </c>
      <c r="M89" s="1">
        <f t="shared" si="58"/>
        <v>0.203101316160624</v>
      </c>
      <c r="N89" s="1">
        <f t="shared" si="59"/>
        <v>0.182090734969993</v>
      </c>
      <c r="O89" s="1">
        <f t="shared" si="60"/>
        <v>0.251797034103856</v>
      </c>
      <c r="P89" s="1">
        <f t="shared" si="61"/>
        <v>0.192581859989055</v>
      </c>
      <c r="Q89" s="2">
        <f t="shared" si="62"/>
        <v>0.511165836807306</v>
      </c>
      <c r="R89" s="1">
        <f t="shared" si="63"/>
        <v>3.0913670741372</v>
      </c>
      <c r="S89" s="2">
        <f t="shared" si="64"/>
        <v>0.406243402945715</v>
      </c>
      <c r="T89" s="1">
        <f t="shared" si="65"/>
        <v>-0.458827459122556</v>
      </c>
      <c r="U89" s="1">
        <f t="shared" si="66"/>
        <v>0.314725486424537</v>
      </c>
      <c r="V89" s="2">
        <f t="shared" si="67"/>
        <v>0.287302162396044</v>
      </c>
      <c r="W89" s="2">
        <f t="shared" si="68"/>
        <v>0.1779520300633</v>
      </c>
      <c r="X89" s="1">
        <f t="shared" si="69"/>
        <v>0.301600726721382</v>
      </c>
      <c r="Y89" s="2">
        <f t="shared" si="70"/>
        <v>1.00556742031915</v>
      </c>
      <c r="Z89" s="1">
        <f t="shared" si="71"/>
        <v>0.758228390777831</v>
      </c>
      <c r="AA89" s="1">
        <f t="shared" si="72"/>
        <v>2.89732484731774</v>
      </c>
      <c r="AB89" s="1">
        <f t="shared" si="73"/>
        <v>0.17406487019435</v>
      </c>
      <c r="AC89" s="2">
        <f t="shared" si="74"/>
        <v>1.39329415908438</v>
      </c>
      <c r="AD89" s="2">
        <f t="shared" si="75"/>
        <v>0.074250252960046</v>
      </c>
      <c r="AE89" s="1">
        <f t="shared" si="76"/>
        <v>0.164331725622412</v>
      </c>
      <c r="AF89" s="2">
        <f t="shared" si="77"/>
        <v>0.110461179591859</v>
      </c>
      <c r="AG89" s="7">
        <f t="shared" si="78"/>
        <v>0.117011653211001</v>
      </c>
      <c r="AH89" s="1">
        <f t="shared" si="79"/>
        <v>33.1670841983625</v>
      </c>
      <c r="AI89" s="1">
        <f t="shared" si="80"/>
        <v>0.393294159084376</v>
      </c>
      <c r="AJ89" s="1">
        <f t="shared" si="81"/>
        <v>0.254225702554936</v>
      </c>
      <c r="AK89" s="2">
        <f t="shared" si="82"/>
        <v>0.13131879963203</v>
      </c>
      <c r="AL89" s="2">
        <f t="shared" si="83"/>
        <v>0.140774528560938</v>
      </c>
      <c r="AM89" s="1">
        <f t="shared" si="84"/>
        <v>3.0913670741372</v>
      </c>
      <c r="AN89" s="1">
        <f t="shared" si="85"/>
        <v>0.103701777103254</v>
      </c>
      <c r="AO89" s="1">
        <f t="shared" si="86"/>
        <v>0.378640175198475</v>
      </c>
      <c r="AP89" s="1">
        <f t="shared" si="87"/>
        <v>2.21874688412441</v>
      </c>
      <c r="AQ89" s="1">
        <f t="shared" si="88"/>
        <v>0.048113904761954</v>
      </c>
      <c r="AR89" s="1">
        <f t="shared" si="89"/>
        <v>0.146035421522632</v>
      </c>
      <c r="AS89" s="1">
        <f t="shared" si="90"/>
        <v>0.715997883875378</v>
      </c>
      <c r="AT89" s="1">
        <f t="shared" si="91"/>
        <v>0.237425772032861</v>
      </c>
      <c r="AU89" s="2">
        <f t="shared" si="92"/>
        <v>0.31862954458506</v>
      </c>
      <c r="AV89" s="2">
        <f t="shared" si="93"/>
        <v>0.158475743324847</v>
      </c>
      <c r="AW89" s="2">
        <f t="shared" si="94"/>
        <v>0.489906694963849</v>
      </c>
      <c r="AX89" s="2">
        <f t="shared" si="95"/>
        <v>0.026136348198092</v>
      </c>
      <c r="AY89" s="11">
        <f t="shared" si="96"/>
        <v>1.45428231090015</v>
      </c>
      <c r="AZ89" s="2">
        <f t="shared" si="97"/>
        <v>0.138453312082246</v>
      </c>
      <c r="BA89" s="1">
        <f t="shared" si="98"/>
        <v>2.08592063275893</v>
      </c>
      <c r="BB89" s="2">
        <f t="shared" si="99"/>
        <v>0.069354590512701</v>
      </c>
      <c r="BC89" s="1">
        <f t="shared" si="100"/>
        <v>0.641209298696707</v>
      </c>
      <c r="BD89" s="1">
        <f t="shared" si="101"/>
        <v>0.0739870444294961</v>
      </c>
      <c r="BE89" s="2">
        <f t="shared" si="102"/>
        <v>0.0318626728338179</v>
      </c>
      <c r="BF89" s="1">
        <f t="shared" si="103"/>
        <v>0.54218174013675</v>
      </c>
    </row>
    <row r="90" s="3" customFormat="1" spans="1:58">
      <c r="A90" s="8">
        <v>225</v>
      </c>
      <c r="B90" s="9">
        <v>0.105042279602</v>
      </c>
      <c r="C90" s="9">
        <v>0.147331906686</v>
      </c>
      <c r="D90" s="6">
        <v>0.0921181717317</v>
      </c>
      <c r="E90" s="10">
        <v>0.195960535166334</v>
      </c>
      <c r="F90" s="9">
        <v>0.262088615199</v>
      </c>
      <c r="G90" s="1">
        <f t="shared" si="52"/>
        <v>1.77889922891974</v>
      </c>
      <c r="H90" s="1">
        <f t="shared" si="53"/>
        <v>0.114756708513</v>
      </c>
      <c r="I90" s="1">
        <f t="shared" si="54"/>
        <v>0.28029056282927</v>
      </c>
      <c r="J90" s="1">
        <f t="shared" si="55"/>
        <v>-0.648168845412039</v>
      </c>
      <c r="K90" s="1">
        <f t="shared" si="56"/>
        <v>0.778899228919737</v>
      </c>
      <c r="L90" s="1">
        <f t="shared" si="57"/>
        <v>0.467245228184513</v>
      </c>
      <c r="M90" s="1">
        <f t="shared" si="58"/>
        <v>0.189279941047193</v>
      </c>
      <c r="N90" s="1">
        <f t="shared" si="59"/>
        <v>0.169411940788804</v>
      </c>
      <c r="O90" s="1">
        <f t="shared" si="60"/>
        <v>0.233777633153103</v>
      </c>
      <c r="P90" s="1">
        <f t="shared" si="61"/>
        <v>0.179346654324922</v>
      </c>
      <c r="Q90" s="2">
        <f t="shared" si="62"/>
        <v>0.479862187114315</v>
      </c>
      <c r="R90" s="1">
        <f t="shared" si="63"/>
        <v>2.84513479015139</v>
      </c>
      <c r="S90" s="2">
        <f t="shared" si="64"/>
        <v>0.383436624006754</v>
      </c>
      <c r="T90" s="1">
        <f t="shared" si="65"/>
        <v>-0.490961595323768</v>
      </c>
      <c r="U90" s="1">
        <f t="shared" si="66"/>
        <v>0.29847066202441</v>
      </c>
      <c r="V90" s="2">
        <f t="shared" si="67"/>
        <v>0.271335958067804</v>
      </c>
      <c r="W90" s="2">
        <f t="shared" si="68"/>
        <v>0.1699704434673</v>
      </c>
      <c r="X90" s="1">
        <f t="shared" si="69"/>
        <v>0.285591296693384</v>
      </c>
      <c r="Y90" s="2">
        <f t="shared" si="70"/>
        <v>0.989879885195328</v>
      </c>
      <c r="Z90" s="1">
        <f t="shared" si="71"/>
        <v>0.686752735332417</v>
      </c>
      <c r="AA90" s="1">
        <f t="shared" si="72"/>
        <v>2.85841947755528</v>
      </c>
      <c r="AB90" s="1">
        <f t="shared" si="73"/>
        <v>0.17710339346535</v>
      </c>
      <c r="AC90" s="2">
        <f t="shared" si="74"/>
        <v>1.33745611062215</v>
      </c>
      <c r="AD90" s="2">
        <f t="shared" si="75"/>
        <v>0.066128080032666</v>
      </c>
      <c r="AE90" s="1">
        <f t="shared" si="76"/>
        <v>0.144368961234669</v>
      </c>
      <c r="AF90" s="2">
        <f t="shared" si="77"/>
        <v>0.0977079434987711</v>
      </c>
      <c r="AG90" s="7">
        <f t="shared" si="78"/>
        <v>0.103535523215248</v>
      </c>
      <c r="AH90" s="1">
        <f t="shared" si="79"/>
        <v>29.0769384761505</v>
      </c>
      <c r="AI90" s="1">
        <f t="shared" si="80"/>
        <v>0.337456110622149</v>
      </c>
      <c r="AJ90" s="1">
        <f t="shared" si="81"/>
        <v>0.220721970254008</v>
      </c>
      <c r="AK90" s="2">
        <f t="shared" si="82"/>
        <v>0.116121905803877</v>
      </c>
      <c r="AL90" s="2">
        <f t="shared" si="83"/>
        <v>0.124114033313612</v>
      </c>
      <c r="AM90" s="1">
        <f t="shared" si="84"/>
        <v>2.84513479015139</v>
      </c>
      <c r="AN90" s="1">
        <f t="shared" si="85"/>
        <v>0.103842363434634</v>
      </c>
      <c r="AO90" s="1">
        <f t="shared" si="86"/>
        <v>0.360465251155786</v>
      </c>
      <c r="AP90" s="1">
        <f t="shared" si="87"/>
        <v>2.12727338680886</v>
      </c>
      <c r="AQ90" s="1">
        <f t="shared" si="88"/>
        <v>0.048628628480334</v>
      </c>
      <c r="AR90" s="1">
        <f t="shared" si="89"/>
        <v>0.141653653130096</v>
      </c>
      <c r="AS90" s="1">
        <f t="shared" si="90"/>
        <v>0.636812162642001</v>
      </c>
      <c r="AT90" s="1">
        <f t="shared" si="91"/>
        <v>0.243370526662361</v>
      </c>
      <c r="AU90" s="2">
        <f t="shared" si="92"/>
        <v>0.323697831116175</v>
      </c>
      <c r="AV90" s="2">
        <f t="shared" si="93"/>
        <v>0.16743664705599</v>
      </c>
      <c r="AW90" s="2">
        <f t="shared" si="94"/>
        <v>0.476379829685295</v>
      </c>
      <c r="AX90" s="2">
        <f t="shared" si="95"/>
        <v>0.017499451552332</v>
      </c>
      <c r="AY90" s="11">
        <f t="shared" si="96"/>
        <v>1.48113731798124</v>
      </c>
      <c r="AZ90" s="2">
        <f t="shared" si="97"/>
        <v>0.124033947125328</v>
      </c>
      <c r="BA90" s="1">
        <f t="shared" si="98"/>
        <v>2.20822688280397</v>
      </c>
      <c r="BB90" s="2">
        <f t="shared" si="99"/>
        <v>0.0577469925162803</v>
      </c>
      <c r="BC90" s="1">
        <f t="shared" si="100"/>
        <v>0.634125281464448</v>
      </c>
      <c r="BD90" s="1">
        <f t="shared" si="101"/>
        <v>0.0619874351536998</v>
      </c>
      <c r="BE90" s="2">
        <f t="shared" si="102"/>
        <v>0.0193637748177179</v>
      </c>
      <c r="BF90" s="1">
        <f t="shared" si="103"/>
        <v>0.515068933386126</v>
      </c>
    </row>
    <row r="91" s="3" customFormat="1" spans="1:58">
      <c r="A91" s="8">
        <v>229</v>
      </c>
      <c r="B91" s="9">
        <v>0.103891342342</v>
      </c>
      <c r="C91" s="9">
        <v>0.145970228776</v>
      </c>
      <c r="D91" s="6">
        <v>0.0906988832121</v>
      </c>
      <c r="E91" s="10">
        <v>0.194512860876342</v>
      </c>
      <c r="F91" s="9">
        <v>0.259388753006</v>
      </c>
      <c r="G91" s="1">
        <f t="shared" si="52"/>
        <v>1.77699764658208</v>
      </c>
      <c r="H91" s="1">
        <f t="shared" si="53"/>
        <v>0.11341852423</v>
      </c>
      <c r="I91" s="1">
        <f t="shared" si="54"/>
        <v>0.279797733188001</v>
      </c>
      <c r="J91" s="1">
        <f t="shared" si="55"/>
        <v>-0.648478838108829</v>
      </c>
      <c r="K91" s="1">
        <f t="shared" si="56"/>
        <v>0.776997646582081</v>
      </c>
      <c r="L91" s="1">
        <f t="shared" si="57"/>
        <v>0.466264067032919</v>
      </c>
      <c r="M91" s="1">
        <f t="shared" si="58"/>
        <v>0.187911966157491</v>
      </c>
      <c r="N91" s="1">
        <f t="shared" si="59"/>
        <v>0.167920892736308</v>
      </c>
      <c r="O91" s="1">
        <f t="shared" si="60"/>
        <v>0.232711414068471</v>
      </c>
      <c r="P91" s="1">
        <f t="shared" si="61"/>
        <v>0.178141084483851</v>
      </c>
      <c r="Q91" s="2">
        <f t="shared" si="62"/>
        <v>0.481850406418833</v>
      </c>
      <c r="R91" s="1">
        <f t="shared" si="63"/>
        <v>2.85988916092183</v>
      </c>
      <c r="S91" s="2">
        <f t="shared" si="64"/>
        <v>0.383620842904054</v>
      </c>
      <c r="T91" s="1">
        <f t="shared" si="65"/>
        <v>-0.488996281028158</v>
      </c>
      <c r="U91" s="1">
        <f t="shared" si="66"/>
        <v>0.297657316622743</v>
      </c>
      <c r="V91" s="2">
        <f t="shared" si="67"/>
        <v>0.270214409234572</v>
      </c>
      <c r="W91" s="2">
        <f t="shared" si="68"/>
        <v>0.1686898697939</v>
      </c>
      <c r="X91" s="1">
        <f t="shared" si="69"/>
        <v>0.285102231346811</v>
      </c>
      <c r="Y91" s="2">
        <f t="shared" si="70"/>
        <v>0.99088364928423</v>
      </c>
      <c r="Z91" s="1">
        <f t="shared" si="71"/>
        <v>0.691120681950828</v>
      </c>
      <c r="AA91" s="1">
        <f t="shared" si="72"/>
        <v>2.8621469538206</v>
      </c>
      <c r="AB91" s="1">
        <f t="shared" si="73"/>
        <v>0.17504381810905</v>
      </c>
      <c r="AC91" s="2">
        <f t="shared" si="74"/>
        <v>1.33353009069617</v>
      </c>
      <c r="AD91" s="2">
        <f t="shared" si="75"/>
        <v>0.064875892129658</v>
      </c>
      <c r="AE91" s="1">
        <f t="shared" si="76"/>
        <v>0.142929414977746</v>
      </c>
      <c r="AF91" s="2">
        <f t="shared" si="77"/>
        <v>0.0962947210819544</v>
      </c>
      <c r="AG91" s="7">
        <f t="shared" si="78"/>
        <v>0.102016640687317</v>
      </c>
      <c r="AH91" s="1">
        <f t="shared" si="79"/>
        <v>28.782962958682</v>
      </c>
      <c r="AI91" s="1">
        <f t="shared" si="80"/>
        <v>0.333530090696171</v>
      </c>
      <c r="AJ91" s="1">
        <f t="shared" si="81"/>
        <v>0.218337492750738</v>
      </c>
      <c r="AK91" s="2">
        <f t="shared" si="82"/>
        <v>0.114475065920756</v>
      </c>
      <c r="AL91" s="2">
        <f t="shared" si="83"/>
        <v>0.122586475045212</v>
      </c>
      <c r="AM91" s="1">
        <f t="shared" si="84"/>
        <v>2.85988916092183</v>
      </c>
      <c r="AN91" s="1">
        <f t="shared" si="85"/>
        <v>0.103813977664242</v>
      </c>
      <c r="AO91" s="1">
        <f t="shared" si="86"/>
        <v>0.363989140755894</v>
      </c>
      <c r="AP91" s="1">
        <f t="shared" si="87"/>
        <v>2.14460039625264</v>
      </c>
      <c r="AQ91" s="1">
        <f t="shared" si="88"/>
        <v>0.048542632100342</v>
      </c>
      <c r="AR91" s="1">
        <f t="shared" si="89"/>
        <v>0.142569876671137</v>
      </c>
      <c r="AS91" s="1">
        <f t="shared" si="90"/>
        <v>0.624924442636053</v>
      </c>
      <c r="AT91" s="1">
        <f t="shared" si="91"/>
        <v>0.243335690051946</v>
      </c>
      <c r="AU91" s="2">
        <f t="shared" si="92"/>
        <v>0.324257361396319</v>
      </c>
      <c r="AV91" s="2">
        <f t="shared" si="93"/>
        <v>0.166542049990769</v>
      </c>
      <c r="AW91" s="2">
        <f t="shared" si="94"/>
        <v>0.476291803606301</v>
      </c>
      <c r="AX91" s="2">
        <f t="shared" si="95"/>
        <v>0.016333260029316</v>
      </c>
      <c r="AY91" s="11">
        <f t="shared" si="96"/>
        <v>1.48732203085111</v>
      </c>
      <c r="AZ91" s="2">
        <f t="shared" si="97"/>
        <v>0.121792479826733</v>
      </c>
      <c r="BA91" s="1">
        <f t="shared" si="98"/>
        <v>2.2030983092877</v>
      </c>
      <c r="BB91" s="2">
        <f t="shared" si="99"/>
        <v>0.0562645513350463</v>
      </c>
      <c r="BC91" s="1">
        <f t="shared" si="100"/>
        <v>0.627117281256846</v>
      </c>
      <c r="BD91" s="1">
        <f t="shared" si="101"/>
        <v>0.0596558659695033</v>
      </c>
      <c r="BE91" s="2">
        <f t="shared" si="102"/>
        <v>0.017694778590174</v>
      </c>
      <c r="BF91" s="1">
        <f t="shared" si="103"/>
        <v>0.510831211351199</v>
      </c>
    </row>
    <row r="92" s="3" customFormat="1" spans="1:58">
      <c r="A92" s="8">
        <v>225.5</v>
      </c>
      <c r="B92" s="9">
        <v>0.0979125998567</v>
      </c>
      <c r="C92" s="9">
        <v>0.134892042561</v>
      </c>
      <c r="D92" s="6">
        <v>0.0838147936816</v>
      </c>
      <c r="E92" s="10">
        <v>0.187491089555232</v>
      </c>
      <c r="F92" s="9">
        <v>0.247801133232</v>
      </c>
      <c r="G92" s="1">
        <f t="shared" si="52"/>
        <v>1.83703299710908</v>
      </c>
      <c r="H92" s="1">
        <f t="shared" si="53"/>
        <v>0.112909090671</v>
      </c>
      <c r="I92" s="1">
        <f t="shared" si="54"/>
        <v>0.29503816062838</v>
      </c>
      <c r="J92" s="1">
        <f t="shared" si="55"/>
        <v>-0.63874791970661</v>
      </c>
      <c r="K92" s="1">
        <f t="shared" si="56"/>
        <v>0.837032997109085</v>
      </c>
      <c r="L92" s="1">
        <f t="shared" si="57"/>
        <v>0.496947357224409</v>
      </c>
      <c r="M92" s="1">
        <f t="shared" si="58"/>
        <v>0.191871468649733</v>
      </c>
      <c r="N92" s="1">
        <f t="shared" si="59"/>
        <v>0.170403217128155</v>
      </c>
      <c r="O92" s="1">
        <f t="shared" si="60"/>
        <v>0.241341794996733</v>
      </c>
      <c r="P92" s="1">
        <f t="shared" si="61"/>
        <v>0.182517096267157</v>
      </c>
      <c r="Q92" s="2">
        <f t="shared" si="62"/>
        <v>0.494506826245186</v>
      </c>
      <c r="R92" s="1">
        <f t="shared" si="63"/>
        <v>2.95653216272726</v>
      </c>
      <c r="S92" s="2">
        <f t="shared" si="64"/>
        <v>0.386936515813686</v>
      </c>
      <c r="T92" s="1">
        <f t="shared" si="65"/>
        <v>-0.476250241642136</v>
      </c>
      <c r="U92" s="1">
        <f t="shared" si="66"/>
        <v>0.295784990841278</v>
      </c>
      <c r="V92" s="2">
        <f t="shared" si="67"/>
        <v>0.266933317962291</v>
      </c>
      <c r="W92" s="2">
        <f t="shared" si="68"/>
        <v>0.1639863395504</v>
      </c>
      <c r="X92" s="1">
        <f t="shared" si="69"/>
        <v>0.284767210750525</v>
      </c>
      <c r="Y92" s="2">
        <f t="shared" si="70"/>
        <v>0.997249630857383</v>
      </c>
      <c r="Z92" s="1">
        <f t="shared" si="71"/>
        <v>0.71945693831723</v>
      </c>
      <c r="AA92" s="1">
        <f t="shared" si="72"/>
        <v>2.88309325740234</v>
      </c>
      <c r="AB92" s="1">
        <f t="shared" si="73"/>
        <v>0.1658079634568</v>
      </c>
      <c r="AC92" s="2">
        <f t="shared" si="74"/>
        <v>1.32166885274301</v>
      </c>
      <c r="AD92" s="2">
        <f t="shared" si="75"/>
        <v>0.060310043676768</v>
      </c>
      <c r="AE92" s="1">
        <f t="shared" si="76"/>
        <v>0.138550703457542</v>
      </c>
      <c r="AF92" s="2">
        <f t="shared" si="77"/>
        <v>0.0914111534604573</v>
      </c>
      <c r="AG92" s="7">
        <f t="shared" si="78"/>
        <v>0.0967238509110663</v>
      </c>
      <c r="AH92" s="1">
        <f t="shared" si="79"/>
        <v>27.8895220447352</v>
      </c>
      <c r="AI92" s="1">
        <f t="shared" si="80"/>
        <v>0.321668852743008</v>
      </c>
      <c r="AJ92" s="1">
        <f t="shared" si="81"/>
        <v>0.211110032513673</v>
      </c>
      <c r="AK92" s="2">
        <f t="shared" si="82"/>
        <v>0.108782266653908</v>
      </c>
      <c r="AL92" s="2">
        <f t="shared" si="83"/>
        <v>0.1175215263816</v>
      </c>
      <c r="AM92" s="1">
        <f t="shared" si="84"/>
        <v>2.95653216272726</v>
      </c>
      <c r="AN92" s="1">
        <f t="shared" si="85"/>
        <v>0.103676295873632</v>
      </c>
      <c r="AO92" s="1">
        <f t="shared" si="86"/>
        <v>0.382138030464785</v>
      </c>
      <c r="AP92" s="1">
        <f t="shared" si="87"/>
        <v>2.23696893256676</v>
      </c>
      <c r="AQ92" s="1">
        <f t="shared" si="88"/>
        <v>0.052599046994232</v>
      </c>
      <c r="AR92" s="1">
        <f t="shared" si="89"/>
        <v>0.163156945119784</v>
      </c>
      <c r="AS92" s="1">
        <f t="shared" si="90"/>
        <v>0.581714876757153</v>
      </c>
      <c r="AT92" s="1">
        <f t="shared" si="91"/>
        <v>0.236576227649173</v>
      </c>
      <c r="AU92" s="2">
        <f t="shared" si="92"/>
        <v>0.328825435827705</v>
      </c>
      <c r="AV92" s="2">
        <f t="shared" si="93"/>
        <v>0.161459566182983</v>
      </c>
      <c r="AW92" s="2">
        <f t="shared" si="94"/>
        <v>0.477360400399979</v>
      </c>
      <c r="AX92" s="2">
        <f t="shared" si="95"/>
        <v>0.007710996682536</v>
      </c>
      <c r="AY92" s="11">
        <f t="shared" si="96"/>
        <v>1.45237499102912</v>
      </c>
      <c r="AZ92" s="2">
        <f t="shared" si="97"/>
        <v>0.110777925001997</v>
      </c>
      <c r="BA92" s="1">
        <f t="shared" si="98"/>
        <v>1.99442839159026</v>
      </c>
      <c r="BB92" s="2">
        <f t="shared" si="99"/>
        <v>0.0498642205688753</v>
      </c>
      <c r="BC92" s="1">
        <f t="shared" si="100"/>
        <v>0.597566403268258</v>
      </c>
      <c r="BD92" s="1">
        <f t="shared" si="101"/>
        <v>0.0508887486748425</v>
      </c>
      <c r="BE92" s="2">
        <f t="shared" si="102"/>
        <v>0.00479194958354397</v>
      </c>
      <c r="BF92" s="1">
        <f t="shared" si="103"/>
        <v>0.469602654661529</v>
      </c>
    </row>
    <row r="93" s="3" customFormat="1" spans="1:58">
      <c r="A93" s="8">
        <v>208</v>
      </c>
      <c r="B93" s="9">
        <v>0.11674803093</v>
      </c>
      <c r="C93" s="9">
        <v>0.15955051806</v>
      </c>
      <c r="D93" s="6">
        <v>0.107026288624</v>
      </c>
      <c r="E93" s="10">
        <v>0.21116681439648</v>
      </c>
      <c r="F93" s="9">
        <v>0.243627941467</v>
      </c>
      <c r="G93" s="1">
        <f t="shared" si="52"/>
        <v>1.52696427707857</v>
      </c>
      <c r="H93" s="1">
        <f t="shared" si="53"/>
        <v>0.084077423407</v>
      </c>
      <c r="I93" s="1">
        <f t="shared" si="54"/>
        <v>0.208536496482569</v>
      </c>
      <c r="J93" s="1">
        <f t="shared" si="55"/>
        <v>-0.690280286171852</v>
      </c>
      <c r="K93" s="1">
        <f t="shared" si="56"/>
        <v>0.526964277078575</v>
      </c>
      <c r="L93" s="1">
        <f t="shared" si="57"/>
        <v>0.331498543154319</v>
      </c>
      <c r="M93" s="1">
        <f t="shared" si="58"/>
        <v>0.139635897845203</v>
      </c>
      <c r="N93" s="1">
        <f t="shared" si="59"/>
        <v>0.123283143377705</v>
      </c>
      <c r="O93" s="1">
        <f t="shared" si="60"/>
        <v>0.173177452905484</v>
      </c>
      <c r="P93" s="1">
        <f t="shared" si="61"/>
        <v>0.132413033008754</v>
      </c>
      <c r="Q93" s="2">
        <f t="shared" si="62"/>
        <v>0.389562255694306</v>
      </c>
      <c r="R93" s="1">
        <f t="shared" si="63"/>
        <v>2.27633738027582</v>
      </c>
      <c r="S93" s="2">
        <f t="shared" si="64"/>
        <v>0.310303739713744</v>
      </c>
      <c r="T93" s="1">
        <f t="shared" si="65"/>
        <v>-0.570893868109227</v>
      </c>
      <c r="U93" s="1">
        <f t="shared" si="66"/>
        <v>0.240876342015698</v>
      </c>
      <c r="V93" s="2">
        <f t="shared" si="67"/>
        <v>0.21468634767384</v>
      </c>
      <c r="W93" s="2">
        <f t="shared" si="68"/>
        <v>0.136601652843</v>
      </c>
      <c r="X93" s="1">
        <f t="shared" si="69"/>
        <v>0.230683436798331</v>
      </c>
      <c r="Y93" s="2">
        <f t="shared" si="70"/>
        <v>0.943166080652981</v>
      </c>
      <c r="Z93" s="1">
        <f t="shared" si="71"/>
        <v>0.50875358500844</v>
      </c>
      <c r="AA93" s="1">
        <f t="shared" si="72"/>
        <v>2.75761514936122</v>
      </c>
      <c r="AB93" s="1">
        <f t="shared" si="73"/>
        <v>0.1753271150455</v>
      </c>
      <c r="AC93" s="2">
        <f t="shared" si="74"/>
        <v>1.1537226725861</v>
      </c>
      <c r="AD93" s="2">
        <f t="shared" si="75"/>
        <v>0.03246112707052</v>
      </c>
      <c r="AE93" s="1">
        <f t="shared" si="76"/>
        <v>0.0713753328331344</v>
      </c>
      <c r="AF93" s="2">
        <f t="shared" si="77"/>
        <v>0.0481344341277326</v>
      </c>
      <c r="AG93" s="7">
        <f t="shared" si="78"/>
        <v>0.0509970235034911</v>
      </c>
      <c r="AH93" s="1">
        <f t="shared" si="79"/>
        <v>14.299382082189</v>
      </c>
      <c r="AI93" s="1">
        <f t="shared" si="80"/>
        <v>0.153722672586101</v>
      </c>
      <c r="AJ93" s="1">
        <f t="shared" si="81"/>
        <v>0.104747348032453</v>
      </c>
      <c r="AK93" s="2">
        <f t="shared" si="82"/>
        <v>0.0572402850457478</v>
      </c>
      <c r="AL93" s="2">
        <f t="shared" si="83"/>
        <v>0.0612479320011714</v>
      </c>
      <c r="AM93" s="1">
        <f t="shared" si="84"/>
        <v>2.27633738027582</v>
      </c>
      <c r="AN93" s="1">
        <f t="shared" si="85"/>
        <v>0.10414052577248</v>
      </c>
      <c r="AO93" s="1">
        <f t="shared" si="86"/>
        <v>0.327287187509458</v>
      </c>
      <c r="AP93" s="1">
        <f t="shared" si="87"/>
        <v>1.97303687824159</v>
      </c>
      <c r="AQ93" s="1">
        <f t="shared" si="88"/>
        <v>0.05161629633648</v>
      </c>
      <c r="AR93" s="1">
        <f t="shared" si="89"/>
        <v>0.139233566433098</v>
      </c>
      <c r="AS93" s="1">
        <f t="shared" si="90"/>
        <v>0.311705043063054</v>
      </c>
      <c r="AT93" s="1">
        <f t="shared" si="91"/>
        <v>0.259708220820256</v>
      </c>
      <c r="AU93" s="2">
        <f t="shared" si="92"/>
        <v>0.343726603523578</v>
      </c>
      <c r="AV93" s="2">
        <f t="shared" si="93"/>
        <v>0.190498895821239</v>
      </c>
      <c r="AW93" s="2">
        <f t="shared" si="94"/>
        <v>0.433639757459155</v>
      </c>
      <c r="AX93" s="2">
        <f t="shared" si="95"/>
        <v>-0.01915516926596</v>
      </c>
      <c r="AY93" s="11">
        <f t="shared" si="96"/>
        <v>1.62471264350885</v>
      </c>
      <c r="AZ93" s="2">
        <f t="shared" si="97"/>
        <v>0.0617601379253717</v>
      </c>
      <c r="BA93" s="1">
        <f t="shared" si="98"/>
        <v>2.59085065878601</v>
      </c>
      <c r="BB93" s="2">
        <f t="shared" si="99"/>
        <v>0.0180507323515019</v>
      </c>
      <c r="BC93" s="1">
        <f t="shared" si="100"/>
        <v>0.570416857748176</v>
      </c>
      <c r="BD93" s="1">
        <f t="shared" si="101"/>
        <v>0.00282312681293714</v>
      </c>
      <c r="BE93" s="2">
        <f t="shared" si="102"/>
        <v>-0.0337773993033601</v>
      </c>
      <c r="BF93" s="1">
        <f t="shared" si="103"/>
        <v>0.342267823796015</v>
      </c>
    </row>
    <row r="94" s="3" customFormat="1" spans="1:58">
      <c r="A94" s="8">
        <v>217</v>
      </c>
      <c r="B94" s="9">
        <v>0.117590230264</v>
      </c>
      <c r="C94" s="9">
        <v>0.157642078213</v>
      </c>
      <c r="D94" s="6">
        <v>0.107210207838</v>
      </c>
      <c r="E94" s="10">
        <v>0.21135441199476</v>
      </c>
      <c r="F94" s="9">
        <v>0.228791186033</v>
      </c>
      <c r="G94" s="1">
        <f t="shared" si="52"/>
        <v>1.45133322667737</v>
      </c>
      <c r="H94" s="1">
        <f t="shared" si="53"/>
        <v>0.07114910782</v>
      </c>
      <c r="I94" s="1">
        <f t="shared" si="54"/>
        <v>0.184117451583327</v>
      </c>
      <c r="J94" s="1">
        <f t="shared" si="55"/>
        <v>-0.703345388874287</v>
      </c>
      <c r="K94" s="1">
        <f t="shared" si="56"/>
        <v>0.451333226677372</v>
      </c>
      <c r="L94" s="1">
        <f t="shared" si="57"/>
        <v>0.288267798254883</v>
      </c>
      <c r="M94" s="1">
        <f t="shared" si="58"/>
        <v>0.120396724756013</v>
      </c>
      <c r="N94" s="1">
        <f t="shared" si="59"/>
        <v>0.105222122336454</v>
      </c>
      <c r="O94" s="1">
        <f t="shared" si="60"/>
        <v>0.151039423240611</v>
      </c>
      <c r="P94" s="1">
        <f t="shared" si="61"/>
        <v>0.114454324576426</v>
      </c>
      <c r="Q94" s="2">
        <f t="shared" si="62"/>
        <v>0.361846648295984</v>
      </c>
      <c r="R94" s="1">
        <f t="shared" si="63"/>
        <v>2.13404292974336</v>
      </c>
      <c r="S94" s="2">
        <f t="shared" si="64"/>
        <v>0.284341811230636</v>
      </c>
      <c r="T94" s="1">
        <f t="shared" si="65"/>
        <v>-0.592248740064667</v>
      </c>
      <c r="U94" s="1">
        <f t="shared" si="66"/>
        <v>0.21814732442975</v>
      </c>
      <c r="V94" s="2">
        <f t="shared" si="67"/>
        <v>0.192158503046409</v>
      </c>
      <c r="W94" s="2">
        <f t="shared" si="68"/>
        <v>0.121580978195</v>
      </c>
      <c r="X94" s="1">
        <f t="shared" si="69"/>
        <v>0.209746679250013</v>
      </c>
      <c r="Y94" s="2">
        <f t="shared" si="70"/>
        <v>0.928356961677987</v>
      </c>
      <c r="Z94" s="1">
        <f t="shared" si="71"/>
        <v>0.460836380209419</v>
      </c>
      <c r="AA94" s="1">
        <f t="shared" si="72"/>
        <v>2.73846533750669</v>
      </c>
      <c r="AB94" s="1">
        <f t="shared" si="73"/>
        <v>0.1680006969355</v>
      </c>
      <c r="AC94" s="2">
        <f t="shared" si="74"/>
        <v>1.08250016582891</v>
      </c>
      <c r="AD94" s="2">
        <f t="shared" si="75"/>
        <v>0.01743677403824</v>
      </c>
      <c r="AE94" s="1">
        <f t="shared" si="76"/>
        <v>0.03961592281366</v>
      </c>
      <c r="AF94" s="2">
        <f t="shared" si="77"/>
        <v>0.0262825777734633</v>
      </c>
      <c r="AG94" s="7">
        <f t="shared" si="78"/>
        <v>0.0278203302895087</v>
      </c>
      <c r="AH94" s="1">
        <f t="shared" si="79"/>
        <v>7.92733340851774</v>
      </c>
      <c r="AI94" s="1">
        <f t="shared" si="80"/>
        <v>0.0825001658289124</v>
      </c>
      <c r="AJ94" s="1">
        <f t="shared" si="81"/>
        <v>0.0571692242521476</v>
      </c>
      <c r="AK94" s="2">
        <f t="shared" si="82"/>
        <v>0.0312860256563111</v>
      </c>
      <c r="AL94" s="2">
        <f t="shared" si="83"/>
        <v>0.033702918009944</v>
      </c>
      <c r="AM94" s="1">
        <f t="shared" si="84"/>
        <v>2.13404292974336</v>
      </c>
      <c r="AN94" s="1">
        <f t="shared" si="85"/>
        <v>0.10414420415676</v>
      </c>
      <c r="AO94" s="1">
        <f t="shared" si="86"/>
        <v>0.326917044998386</v>
      </c>
      <c r="AP94" s="1">
        <f t="shared" si="87"/>
        <v>1.97140194256621</v>
      </c>
      <c r="AQ94" s="1">
        <f t="shared" si="88"/>
        <v>0.05371233378176</v>
      </c>
      <c r="AR94" s="1">
        <f t="shared" si="89"/>
        <v>0.145563264711591</v>
      </c>
      <c r="AS94" s="1">
        <f t="shared" si="90"/>
        <v>0.167429135201742</v>
      </c>
      <c r="AT94" s="1">
        <f t="shared" si="91"/>
        <v>0.263709147040879</v>
      </c>
      <c r="AU94" s="2">
        <f t="shared" si="92"/>
        <v>0.353561005679944</v>
      </c>
      <c r="AV94" s="2">
        <f t="shared" si="93"/>
        <v>0.195869316976412</v>
      </c>
      <c r="AW94" s="2">
        <f t="shared" si="94"/>
        <v>0.417993531047173</v>
      </c>
      <c r="AX94" s="2">
        <f t="shared" si="95"/>
        <v>-0.03627555974352</v>
      </c>
      <c r="AY94" s="11">
        <f t="shared" si="96"/>
        <v>1.70881943456814</v>
      </c>
      <c r="AZ94" s="2">
        <f t="shared" si="97"/>
        <v>0.0331597949248943</v>
      </c>
      <c r="BA94" s="1">
        <f t="shared" si="98"/>
        <v>2.66472119972344</v>
      </c>
      <c r="BB94" s="2">
        <f t="shared" si="99"/>
        <v>0.00347152658517022</v>
      </c>
      <c r="BC94" s="1">
        <f t="shared" si="100"/>
        <v>0.526741490452836</v>
      </c>
      <c r="BD94" s="1">
        <f t="shared" si="101"/>
        <v>-0.0266565353199174</v>
      </c>
      <c r="BE94" s="2">
        <f t="shared" si="102"/>
        <v>-0.05868228608448</v>
      </c>
      <c r="BF94" s="1">
        <f t="shared" si="103"/>
        <v>0.215166582379785</v>
      </c>
    </row>
    <row r="95" s="3" customFormat="1" spans="1:58">
      <c r="A95" s="8">
        <v>215</v>
      </c>
      <c r="B95" s="9">
        <v>0.101077391089</v>
      </c>
      <c r="C95" s="9">
        <v>0.14541575378</v>
      </c>
      <c r="D95" s="6">
        <v>0.0918013895742</v>
      </c>
      <c r="E95" s="10">
        <v>0.195637417365684</v>
      </c>
      <c r="F95" s="9">
        <v>0.242546640638</v>
      </c>
      <c r="G95" s="1">
        <f t="shared" si="52"/>
        <v>1.66795298537564</v>
      </c>
      <c r="H95" s="1">
        <f t="shared" si="53"/>
        <v>0.097130886858</v>
      </c>
      <c r="I95" s="1">
        <f t="shared" si="54"/>
        <v>0.250361602710774</v>
      </c>
      <c r="J95" s="1">
        <f t="shared" si="55"/>
        <v>-0.666452307788555</v>
      </c>
      <c r="K95" s="1">
        <f t="shared" si="56"/>
        <v>0.66795298537564</v>
      </c>
      <c r="L95" s="1">
        <f t="shared" si="57"/>
        <v>0.408937379013085</v>
      </c>
      <c r="M95" s="1">
        <f t="shared" si="58"/>
        <v>0.164079392554112</v>
      </c>
      <c r="N95" s="1">
        <f t="shared" si="59"/>
        <v>0.144956697778535</v>
      </c>
      <c r="O95" s="1">
        <f t="shared" si="60"/>
        <v>0.205619637228848</v>
      </c>
      <c r="P95" s="1">
        <f t="shared" si="61"/>
        <v>0.155941798458552</v>
      </c>
      <c r="Q95" s="2">
        <f t="shared" si="62"/>
        <v>0.450863284488701</v>
      </c>
      <c r="R95" s="1">
        <f t="shared" si="63"/>
        <v>2.64208027528775</v>
      </c>
      <c r="S95" s="2">
        <f t="shared" si="64"/>
        <v>0.353727496717135</v>
      </c>
      <c r="T95" s="1">
        <f t="shared" si="65"/>
        <v>-0.518545656773715</v>
      </c>
      <c r="U95" s="1">
        <f t="shared" si="66"/>
        <v>0.271011458537502</v>
      </c>
      <c r="V95" s="2">
        <f t="shared" si="67"/>
        <v>0.242661642468242</v>
      </c>
      <c r="W95" s="2">
        <f t="shared" si="68"/>
        <v>0.1507452510638</v>
      </c>
      <c r="X95" s="1">
        <f t="shared" si="69"/>
        <v>0.260701935197456</v>
      </c>
      <c r="Y95" s="2">
        <f t="shared" si="70"/>
        <v>0.97512218951714</v>
      </c>
      <c r="Z95" s="1">
        <f t="shared" si="71"/>
        <v>0.625447715334992</v>
      </c>
      <c r="AA95" s="1">
        <f t="shared" si="72"/>
        <v>2.83369864903728</v>
      </c>
      <c r="AB95" s="1">
        <f t="shared" si="73"/>
        <v>0.1671740151061</v>
      </c>
      <c r="AC95" s="2">
        <f t="shared" si="74"/>
        <v>1.23977633677628</v>
      </c>
      <c r="AD95" s="2">
        <f t="shared" si="75"/>
        <v>0.046909223272316</v>
      </c>
      <c r="AE95" s="1">
        <f t="shared" si="76"/>
        <v>0.107053696763933</v>
      </c>
      <c r="AF95" s="2">
        <f t="shared" si="77"/>
        <v>0.0708647004059577</v>
      </c>
      <c r="AG95" s="7">
        <f t="shared" si="78"/>
        <v>0.0750000325716446</v>
      </c>
      <c r="AH95" s="1">
        <f t="shared" si="79"/>
        <v>21.4930989780161</v>
      </c>
      <c r="AI95" s="1">
        <f t="shared" si="80"/>
        <v>0.23977633677628</v>
      </c>
      <c r="AJ95" s="1">
        <f t="shared" si="81"/>
        <v>0.160215302791009</v>
      </c>
      <c r="AK95" s="2">
        <f t="shared" si="82"/>
        <v>0.0843339138591582</v>
      </c>
      <c r="AL95" s="2">
        <f t="shared" si="83"/>
        <v>0.0909664814162457</v>
      </c>
      <c r="AM95" s="1">
        <f t="shared" si="84"/>
        <v>2.64208027528775</v>
      </c>
      <c r="AN95" s="1">
        <f t="shared" si="85"/>
        <v>0.103836027791484</v>
      </c>
      <c r="AO95" s="1">
        <f t="shared" si="86"/>
        <v>0.361245681809418</v>
      </c>
      <c r="AP95" s="1">
        <f t="shared" si="87"/>
        <v>2.13109429250585</v>
      </c>
      <c r="AQ95" s="1">
        <f t="shared" si="88"/>
        <v>0.050221663585684</v>
      </c>
      <c r="AR95" s="1">
        <f t="shared" si="89"/>
        <v>0.147254644831411</v>
      </c>
      <c r="AS95" s="1">
        <f t="shared" si="90"/>
        <v>0.451762497757673</v>
      </c>
      <c r="AT95" s="1">
        <f t="shared" si="91"/>
        <v>0.249170323300069</v>
      </c>
      <c r="AU95" s="2">
        <f t="shared" si="92"/>
        <v>0.335225292084567</v>
      </c>
      <c r="AV95" s="2">
        <f t="shared" si="93"/>
        <v>0.173214925039445</v>
      </c>
      <c r="AW95" s="2">
        <f t="shared" si="94"/>
        <v>0.457647736832164</v>
      </c>
      <c r="AX95" s="2">
        <f t="shared" si="95"/>
        <v>-0.00331244031336805</v>
      </c>
      <c r="AY95" s="11">
        <f t="shared" si="96"/>
        <v>1.55198058969832</v>
      </c>
      <c r="AZ95" s="2">
        <f t="shared" si="97"/>
        <v>0.0884576983301289</v>
      </c>
      <c r="BA95" s="1">
        <f t="shared" si="98"/>
        <v>2.2920589417378</v>
      </c>
      <c r="BB95" s="2">
        <f t="shared" si="99"/>
        <v>0.034072829970244</v>
      </c>
      <c r="BC95" s="1">
        <f t="shared" si="100"/>
        <v>0.577227044845065</v>
      </c>
      <c r="BD95" s="1">
        <f t="shared" si="101"/>
        <v>0.0285934327267687</v>
      </c>
      <c r="BE95" s="2">
        <f t="shared" si="102"/>
        <v>-0.0107965136815321</v>
      </c>
      <c r="BF95" s="1">
        <f t="shared" si="103"/>
        <v>0.427596307120644</v>
      </c>
    </row>
    <row r="96" s="3" customFormat="1" spans="1:58">
      <c r="A96" s="8">
        <v>233.5</v>
      </c>
      <c r="B96" s="9">
        <v>0.0884436168939</v>
      </c>
      <c r="C96" s="9">
        <v>0.137507144338</v>
      </c>
      <c r="D96" s="6">
        <v>0.0788472250121</v>
      </c>
      <c r="E96" s="10">
        <v>0.182424169512342</v>
      </c>
      <c r="F96" s="9">
        <v>0.27863537681</v>
      </c>
      <c r="G96" s="1">
        <f t="shared" si="52"/>
        <v>2.02633381815493</v>
      </c>
      <c r="H96" s="1">
        <f t="shared" si="53"/>
        <v>0.141128232472</v>
      </c>
      <c r="I96" s="1">
        <f t="shared" si="54"/>
        <v>0.339134371759641</v>
      </c>
      <c r="J96" s="1">
        <f t="shared" si="55"/>
        <v>-0.608803296761552</v>
      </c>
      <c r="K96" s="1">
        <f t="shared" si="56"/>
        <v>1.02633381815493</v>
      </c>
      <c r="L96" s="1">
        <f t="shared" si="57"/>
        <v>0.589970401491163</v>
      </c>
      <c r="M96" s="1">
        <f t="shared" si="58"/>
        <v>0.231069231938643</v>
      </c>
      <c r="N96" s="1">
        <f t="shared" si="59"/>
        <v>0.20941082966182</v>
      </c>
      <c r="O96" s="1">
        <f t="shared" si="60"/>
        <v>0.284146272247568</v>
      </c>
      <c r="P96" s="1">
        <f t="shared" si="61"/>
        <v>0.218772563309342</v>
      </c>
      <c r="Q96" s="2">
        <f t="shared" si="62"/>
        <v>0.558875175405946</v>
      </c>
      <c r="R96" s="1">
        <f t="shared" si="63"/>
        <v>3.53386408674801</v>
      </c>
      <c r="S96" s="2">
        <f t="shared" si="64"/>
        <v>0.447849367823261</v>
      </c>
      <c r="T96" s="1">
        <f t="shared" si="65"/>
        <v>-0.404431566838501</v>
      </c>
      <c r="U96" s="1">
        <f t="shared" si="66"/>
        <v>0.349490738424363</v>
      </c>
      <c r="V96" s="2">
        <f t="shared" si="67"/>
        <v>0.323996238124987</v>
      </c>
      <c r="W96" s="2">
        <f t="shared" si="68"/>
        <v>0.1997881517979</v>
      </c>
      <c r="X96" s="1">
        <f t="shared" si="69"/>
        <v>0.334150622294918</v>
      </c>
      <c r="Y96" s="2">
        <f t="shared" si="70"/>
        <v>1.02901660599134</v>
      </c>
      <c r="Z96" s="1">
        <f t="shared" si="71"/>
        <v>0.8798574644765</v>
      </c>
      <c r="AA96" s="1">
        <f t="shared" si="72"/>
        <v>2.95468058118074</v>
      </c>
      <c r="AB96" s="1">
        <f t="shared" si="73"/>
        <v>0.17874130091105</v>
      </c>
      <c r="AC96" s="2">
        <f t="shared" si="74"/>
        <v>1.52740383883808</v>
      </c>
      <c r="AD96" s="2">
        <f t="shared" si="75"/>
        <v>0.096211207297658</v>
      </c>
      <c r="AE96" s="1">
        <f t="shared" si="76"/>
        <v>0.208674146463489</v>
      </c>
      <c r="AF96" s="2">
        <f t="shared" si="77"/>
        <v>0.141692595300744</v>
      </c>
      <c r="AG96" s="7">
        <f t="shared" si="78"/>
        <v>0.150164275979298</v>
      </c>
      <c r="AH96" s="1">
        <f t="shared" si="79"/>
        <v>42.3569456784479</v>
      </c>
      <c r="AI96" s="1">
        <f t="shared" si="80"/>
        <v>0.527403838838081</v>
      </c>
      <c r="AJ96" s="1">
        <f t="shared" si="81"/>
        <v>0.3317462070787</v>
      </c>
      <c r="AK96" s="2">
        <f t="shared" si="82"/>
        <v>0.168302902752572</v>
      </c>
      <c r="AL96" s="2">
        <f t="shared" si="83"/>
        <v>0.179700966076702</v>
      </c>
      <c r="AM96" s="1">
        <f t="shared" si="84"/>
        <v>3.53386408674801</v>
      </c>
      <c r="AN96" s="1">
        <f t="shared" si="85"/>
        <v>0.103576944500242</v>
      </c>
      <c r="AO96" s="1">
        <f t="shared" si="86"/>
        <v>0.396434308044972</v>
      </c>
      <c r="AP96" s="1">
        <f t="shared" si="87"/>
        <v>2.31364096180109</v>
      </c>
      <c r="AQ96" s="1">
        <f t="shared" si="88"/>
        <v>0.044917025174342</v>
      </c>
      <c r="AR96" s="1">
        <f t="shared" si="89"/>
        <v>0.140395838824809</v>
      </c>
      <c r="AS96" s="1">
        <f t="shared" si="90"/>
        <v>0.9288863246727</v>
      </c>
      <c r="AT96" s="1">
        <f t="shared" si="91"/>
        <v>0.229727357842618</v>
      </c>
      <c r="AU96" s="2">
        <f t="shared" si="92"/>
        <v>0.304768328005507</v>
      </c>
      <c r="AV96" s="2">
        <f t="shared" si="93"/>
        <v>0.146038592583716</v>
      </c>
      <c r="AW96" s="2">
        <f t="shared" si="94"/>
        <v>0.516080537610818</v>
      </c>
      <c r="AX96" s="2">
        <f t="shared" si="95"/>
        <v>0.051294182123316</v>
      </c>
      <c r="AY96" s="11">
        <f t="shared" si="96"/>
        <v>1.41564978387679</v>
      </c>
      <c r="AZ96" s="2">
        <f t="shared" si="97"/>
        <v>0.17924746609365</v>
      </c>
      <c r="BA96" s="1">
        <f t="shared" si="98"/>
        <v>1.99535048982183</v>
      </c>
      <c r="BB96" s="2">
        <f t="shared" si="99"/>
        <v>0.103841406556456</v>
      </c>
      <c r="BC96" s="1">
        <f t="shared" si="100"/>
        <v>0.690322704887422</v>
      </c>
      <c r="BD96" s="1">
        <f t="shared" si="101"/>
        <v>0.105539307886687</v>
      </c>
      <c r="BE96" s="2">
        <f t="shared" si="102"/>
        <v>0.068473579236654</v>
      </c>
      <c r="BF96" s="1">
        <f t="shared" si="103"/>
        <v>0.615314057907952</v>
      </c>
    </row>
    <row r="97" s="3" customFormat="1" spans="1:58">
      <c r="A97" s="8">
        <v>220</v>
      </c>
      <c r="B97" s="9">
        <v>0.0923545907153</v>
      </c>
      <c r="C97" s="9">
        <v>0.136007382359</v>
      </c>
      <c r="D97" s="6">
        <v>0.0807745093062</v>
      </c>
      <c r="E97" s="10">
        <v>0.184389999492324</v>
      </c>
      <c r="F97" s="9">
        <v>0.255901909947</v>
      </c>
      <c r="G97" s="1">
        <f t="shared" si="52"/>
        <v>1.88152955750248</v>
      </c>
      <c r="H97" s="1">
        <f t="shared" si="53"/>
        <v>0.119894527588</v>
      </c>
      <c r="I97" s="1">
        <f t="shared" si="54"/>
        <v>0.305924176695426</v>
      </c>
      <c r="J97" s="1">
        <f t="shared" si="55"/>
        <v>-0.631609434681599</v>
      </c>
      <c r="K97" s="1">
        <f t="shared" si="56"/>
        <v>0.881529557502481</v>
      </c>
      <c r="L97" s="1">
        <f t="shared" si="57"/>
        <v>0.519308390180276</v>
      </c>
      <c r="M97" s="1">
        <f t="shared" si="58"/>
        <v>0.201636862552497</v>
      </c>
      <c r="N97" s="1">
        <f t="shared" si="59"/>
        <v>0.180055886877011</v>
      </c>
      <c r="O97" s="1">
        <f t="shared" si="60"/>
        <v>0.251993677114916</v>
      </c>
      <c r="P97" s="1">
        <f t="shared" si="61"/>
        <v>0.191516669359735</v>
      </c>
      <c r="Q97" s="2">
        <f t="shared" si="62"/>
        <v>0.520165329752703</v>
      </c>
      <c r="R97" s="1">
        <f t="shared" si="63"/>
        <v>3.16810231526046</v>
      </c>
      <c r="S97" s="2">
        <f t="shared" si="64"/>
        <v>0.409014353950566</v>
      </c>
      <c r="T97" s="1">
        <f t="shared" si="65"/>
        <v>-0.449094458803879</v>
      </c>
      <c r="U97" s="1">
        <f t="shared" si="66"/>
        <v>0.313969767661998</v>
      </c>
      <c r="V97" s="2">
        <f t="shared" si="67"/>
        <v>0.285654213323271</v>
      </c>
      <c r="W97" s="2">
        <f t="shared" si="68"/>
        <v>0.1751274006408</v>
      </c>
      <c r="X97" s="1">
        <f t="shared" si="69"/>
        <v>0.301819817280204</v>
      </c>
      <c r="Y97" s="2">
        <f t="shared" si="70"/>
        <v>1.01003234094394</v>
      </c>
      <c r="Z97" s="1">
        <f t="shared" si="71"/>
        <v>0.779916378726951</v>
      </c>
      <c r="AA97" s="1">
        <f t="shared" si="72"/>
        <v>2.91075468924749</v>
      </c>
      <c r="AB97" s="1">
        <f t="shared" si="73"/>
        <v>0.1683382096266</v>
      </c>
      <c r="AC97" s="2">
        <f t="shared" si="74"/>
        <v>1.38782965807022</v>
      </c>
      <c r="AD97" s="2">
        <f t="shared" si="75"/>
        <v>0.071511910454676</v>
      </c>
      <c r="AE97" s="1">
        <f t="shared" si="76"/>
        <v>0.162419315280493</v>
      </c>
      <c r="AF97" s="2">
        <f t="shared" si="77"/>
        <v>0.107772517510024</v>
      </c>
      <c r="AG97" s="7">
        <f t="shared" si="78"/>
        <v>0.114079324308954</v>
      </c>
      <c r="AH97" s="1">
        <f t="shared" si="79"/>
        <v>32.7741129820046</v>
      </c>
      <c r="AI97" s="1">
        <f t="shared" si="80"/>
        <v>0.38782965807022</v>
      </c>
      <c r="AJ97" s="1">
        <f t="shared" si="81"/>
        <v>0.250980133694348</v>
      </c>
      <c r="AK97" s="2">
        <f t="shared" si="82"/>
        <v>0.128207109957466</v>
      </c>
      <c r="AL97" s="2">
        <f t="shared" si="83"/>
        <v>0.138189129027082</v>
      </c>
      <c r="AM97" s="1">
        <f t="shared" si="84"/>
        <v>3.16810231526046</v>
      </c>
      <c r="AN97" s="1">
        <f t="shared" si="85"/>
        <v>0.103615490186124</v>
      </c>
      <c r="AO97" s="1">
        <f t="shared" si="86"/>
        <v>0.390759271124224</v>
      </c>
      <c r="AP97" s="1">
        <f t="shared" si="87"/>
        <v>2.28277461635005</v>
      </c>
      <c r="AQ97" s="1">
        <f t="shared" si="88"/>
        <v>0.048382617133324</v>
      </c>
      <c r="AR97" s="1">
        <f t="shared" si="89"/>
        <v>0.151008153854938</v>
      </c>
      <c r="AS97" s="1">
        <f t="shared" si="90"/>
        <v>0.690166212853112</v>
      </c>
      <c r="AT97" s="1">
        <f t="shared" si="91"/>
        <v>0.236001300530135</v>
      </c>
      <c r="AU97" s="2">
        <f t="shared" si="92"/>
        <v>0.319955276913391</v>
      </c>
      <c r="AV97" s="2">
        <f t="shared" si="93"/>
        <v>0.15501768373534</v>
      </c>
      <c r="AW97" s="2">
        <f t="shared" si="94"/>
        <v>0.491111882748246</v>
      </c>
      <c r="AX97" s="2">
        <f t="shared" si="95"/>
        <v>0.023129293321352</v>
      </c>
      <c r="AY97" s="11">
        <f t="shared" si="96"/>
        <v>1.46067884968528</v>
      </c>
      <c r="AZ97" s="2">
        <f t="shared" si="97"/>
        <v>0.133200394218024</v>
      </c>
      <c r="BA97" s="1">
        <f t="shared" si="98"/>
        <v>2.04143394363848</v>
      </c>
      <c r="BB97" s="2">
        <f t="shared" si="99"/>
        <v>0.0659677139888723</v>
      </c>
      <c r="BC97" s="1">
        <f t="shared" si="100"/>
        <v>0.623002816934214</v>
      </c>
      <c r="BD97" s="1">
        <f t="shared" si="101"/>
        <v>0.0687075310339993</v>
      </c>
      <c r="BE97" s="2">
        <f t="shared" si="102"/>
        <v>0.027500268326748</v>
      </c>
      <c r="BF97" s="1">
        <f t="shared" si="103"/>
        <v>0.530913630413055</v>
      </c>
    </row>
    <row r="98" s="3" customFormat="1" spans="1:58">
      <c r="A98" s="8">
        <v>235</v>
      </c>
      <c r="B98" s="9">
        <v>0.0977069526428</v>
      </c>
      <c r="C98" s="9">
        <v>0.137323844345</v>
      </c>
      <c r="D98" s="6">
        <v>0.0846166363104</v>
      </c>
      <c r="E98" s="10">
        <v>0.188308969036608</v>
      </c>
      <c r="F98" s="9">
        <v>0.245040918993</v>
      </c>
      <c r="G98" s="1">
        <f t="shared" si="52"/>
        <v>1.78440182884322</v>
      </c>
      <c r="H98" s="1">
        <f t="shared" si="53"/>
        <v>0.107717074648</v>
      </c>
      <c r="I98" s="1">
        <f t="shared" si="54"/>
        <v>0.281712869427723</v>
      </c>
      <c r="J98" s="1">
        <f t="shared" si="55"/>
        <v>-0.647272477438645</v>
      </c>
      <c r="K98" s="1">
        <f t="shared" si="56"/>
        <v>0.784401828843222</v>
      </c>
      <c r="L98" s="1">
        <f t="shared" si="57"/>
        <v>0.470080939826087</v>
      </c>
      <c r="M98" s="1">
        <f t="shared" si="58"/>
        <v>0.183116573423396</v>
      </c>
      <c r="N98" s="1">
        <f t="shared" si="59"/>
        <v>0.162244366431187</v>
      </c>
      <c r="O98" s="1">
        <f t="shared" si="60"/>
        <v>0.230383341688093</v>
      </c>
      <c r="P98" s="1">
        <f t="shared" si="61"/>
        <v>0.174198984455847</v>
      </c>
      <c r="Q98" s="2">
        <f t="shared" si="62"/>
        <v>0.486639180876512</v>
      </c>
      <c r="R98" s="1">
        <f t="shared" si="63"/>
        <v>2.89589529527165</v>
      </c>
      <c r="S98" s="2">
        <f t="shared" si="64"/>
        <v>0.380045535693838</v>
      </c>
      <c r="T98" s="1">
        <f t="shared" si="65"/>
        <v>-0.484221865802119</v>
      </c>
      <c r="U98" s="1">
        <f t="shared" si="66"/>
        <v>0.290043069560068</v>
      </c>
      <c r="V98" s="2">
        <f t="shared" si="67"/>
        <v>0.261060128456088</v>
      </c>
      <c r="W98" s="2">
        <f t="shared" si="68"/>
        <v>0.1604242826826</v>
      </c>
      <c r="X98" s="1">
        <f t="shared" si="69"/>
        <v>0.279407840830143</v>
      </c>
      <c r="Y98" s="2">
        <f t="shared" si="70"/>
        <v>0.993297126179529</v>
      </c>
      <c r="Z98" s="1">
        <f t="shared" si="71"/>
        <v>0.701733027026171</v>
      </c>
      <c r="AA98" s="1">
        <f t="shared" si="72"/>
        <v>2.87507948869726</v>
      </c>
      <c r="AB98" s="1">
        <f t="shared" si="73"/>
        <v>0.1648287776517</v>
      </c>
      <c r="AC98" s="2">
        <f t="shared" si="74"/>
        <v>1.30127056744367</v>
      </c>
      <c r="AD98" s="2">
        <f t="shared" si="75"/>
        <v>0.056731949956392</v>
      </c>
      <c r="AE98" s="1">
        <f t="shared" si="76"/>
        <v>0.130914883154454</v>
      </c>
      <c r="AF98" s="2">
        <f t="shared" si="77"/>
        <v>0.0861803724734664</v>
      </c>
      <c r="AG98" s="7">
        <f t="shared" si="78"/>
        <v>0.0911747309620811</v>
      </c>
      <c r="AH98" s="1">
        <f t="shared" si="79"/>
        <v>26.3341146734654</v>
      </c>
      <c r="AI98" s="1">
        <f t="shared" si="80"/>
        <v>0.301270567443673</v>
      </c>
      <c r="AJ98" s="1">
        <f t="shared" si="81"/>
        <v>0.198597082392377</v>
      </c>
      <c r="AK98" s="2">
        <f t="shared" si="82"/>
        <v>0.102569939115987</v>
      </c>
      <c r="AL98" s="2">
        <f t="shared" si="83"/>
        <v>0.110911054804363</v>
      </c>
      <c r="AM98" s="1">
        <f t="shared" si="84"/>
        <v>2.89589529527165</v>
      </c>
      <c r="AN98" s="1">
        <f t="shared" si="85"/>
        <v>0.103692332726208</v>
      </c>
      <c r="AO98" s="1">
        <f t="shared" si="86"/>
        <v>0.379928928230716</v>
      </c>
      <c r="AP98" s="1">
        <f t="shared" si="87"/>
        <v>2.22543671371942</v>
      </c>
      <c r="AQ98" s="1">
        <f t="shared" si="88"/>
        <v>0.050985124691608</v>
      </c>
      <c r="AR98" s="1">
        <f t="shared" si="89"/>
        <v>0.156572441708627</v>
      </c>
      <c r="AS98" s="1">
        <f t="shared" si="90"/>
        <v>0.547118079657717</v>
      </c>
      <c r="AT98" s="1">
        <f t="shared" si="91"/>
        <v>0.240634598290668</v>
      </c>
      <c r="AU98" s="2">
        <f t="shared" si="92"/>
        <v>0.32997658443651</v>
      </c>
      <c r="AV98" s="2">
        <f t="shared" si="93"/>
        <v>0.163363137064154</v>
      </c>
      <c r="AW98" s="2">
        <f t="shared" si="94"/>
        <v>0.473082540044901</v>
      </c>
      <c r="AX98" s="2">
        <f t="shared" si="95"/>
        <v>0.00574682526478398</v>
      </c>
      <c r="AY98" s="11">
        <f t="shared" si="96"/>
        <v>1.4893115432891</v>
      </c>
      <c r="AZ98" s="2">
        <f t="shared" si="97"/>
        <v>0.105452394610939</v>
      </c>
      <c r="BA98" s="1">
        <f t="shared" si="98"/>
        <v>2.08805952296395</v>
      </c>
      <c r="BB98" s="2">
        <f t="shared" si="99"/>
        <v>0.0457898049418252</v>
      </c>
      <c r="BC98" s="1">
        <f t="shared" si="100"/>
        <v>0.589029020018543</v>
      </c>
      <c r="BD98" s="1">
        <f t="shared" si="101"/>
        <v>0.0449426114542973</v>
      </c>
      <c r="BE98" s="2">
        <f t="shared" si="102"/>
        <v>0.00215721341829598</v>
      </c>
      <c r="BF98" s="1">
        <f t="shared" si="103"/>
        <v>0.464710339362194</v>
      </c>
    </row>
    <row r="99" s="3" customFormat="1" spans="1:58">
      <c r="A99" s="8">
        <v>233</v>
      </c>
      <c r="B99" s="9">
        <v>0.107497248132</v>
      </c>
      <c r="C99" s="9">
        <v>0.14457576296</v>
      </c>
      <c r="D99" s="6">
        <v>0.0949370023897</v>
      </c>
      <c r="E99" s="10">
        <v>0.198835742437494</v>
      </c>
      <c r="F99" s="9">
        <v>0.24177404971</v>
      </c>
      <c r="G99" s="1">
        <f t="shared" si="52"/>
        <v>1.67230000907477</v>
      </c>
      <c r="H99" s="1">
        <f t="shared" si="53"/>
        <v>0.09719828675</v>
      </c>
      <c r="I99" s="1">
        <f t="shared" si="54"/>
        <v>0.251581037604959</v>
      </c>
      <c r="J99" s="1">
        <f t="shared" si="55"/>
        <v>-0.665728304876643</v>
      </c>
      <c r="K99" s="1">
        <f t="shared" si="56"/>
        <v>0.672300009074771</v>
      </c>
      <c r="L99" s="1">
        <f t="shared" si="57"/>
        <v>0.411263825135222</v>
      </c>
      <c r="M99" s="1">
        <f t="shared" si="58"/>
        <v>0.164491973756734</v>
      </c>
      <c r="N99" s="1">
        <f t="shared" si="59"/>
        <v>0.145257354785899</v>
      </c>
      <c r="O99" s="1">
        <f t="shared" si="60"/>
        <v>0.206369637209159</v>
      </c>
      <c r="P99" s="1">
        <f t="shared" si="61"/>
        <v>0.156375336399284</v>
      </c>
      <c r="Q99" s="2">
        <f t="shared" si="62"/>
        <v>0.436092152023634</v>
      </c>
      <c r="R99" s="1">
        <f t="shared" si="63"/>
        <v>2.54667878302666</v>
      </c>
      <c r="S99" s="2">
        <f t="shared" si="64"/>
        <v>0.342917626196405</v>
      </c>
      <c r="T99" s="1">
        <f t="shared" si="65"/>
        <v>-0.531861039162395</v>
      </c>
      <c r="U99" s="1">
        <f t="shared" si="66"/>
        <v>0.263239705544376</v>
      </c>
      <c r="V99" s="2">
        <f t="shared" si="67"/>
        <v>0.235261812757551</v>
      </c>
      <c r="W99" s="2">
        <f t="shared" si="68"/>
        <v>0.1468370473203</v>
      </c>
      <c r="X99" s="1">
        <f t="shared" si="69"/>
        <v>0.253050358550834</v>
      </c>
      <c r="Y99" s="2">
        <f t="shared" si="70"/>
        <v>0.967518553839477</v>
      </c>
      <c r="Z99" s="1">
        <f t="shared" si="71"/>
        <v>0.595831690068429</v>
      </c>
      <c r="AA99" s="1">
        <f t="shared" si="72"/>
        <v>2.81639766685646</v>
      </c>
      <c r="AB99" s="1">
        <f t="shared" si="73"/>
        <v>0.16835552604985</v>
      </c>
      <c r="AC99" s="2">
        <f t="shared" si="74"/>
        <v>1.21594863552263</v>
      </c>
      <c r="AD99" s="2">
        <f t="shared" si="75"/>
        <v>0.042938307272506</v>
      </c>
      <c r="AE99" s="1">
        <f t="shared" si="76"/>
        <v>0.0974520041037408</v>
      </c>
      <c r="AF99" s="2">
        <f t="shared" si="77"/>
        <v>0.0646871246580642</v>
      </c>
      <c r="AG99" s="7">
        <f t="shared" si="78"/>
        <v>0.0684741552197868</v>
      </c>
      <c r="AH99" s="1">
        <f t="shared" si="79"/>
        <v>19.5524542127667</v>
      </c>
      <c r="AI99" s="1">
        <f t="shared" si="80"/>
        <v>0.21594863552263</v>
      </c>
      <c r="AJ99" s="1">
        <f t="shared" si="81"/>
        <v>0.145067664609135</v>
      </c>
      <c r="AK99" s="2">
        <f t="shared" si="82"/>
        <v>0.076976945323156</v>
      </c>
      <c r="AL99" s="2">
        <f t="shared" si="83"/>
        <v>0.0829297775149748</v>
      </c>
      <c r="AM99" s="1">
        <f t="shared" si="84"/>
        <v>2.54667878302666</v>
      </c>
      <c r="AN99" s="1">
        <f t="shared" si="85"/>
        <v>0.103898740047794</v>
      </c>
      <c r="AO99" s="1">
        <f t="shared" si="86"/>
        <v>0.353670454040624</v>
      </c>
      <c r="AP99" s="1">
        <f t="shared" si="87"/>
        <v>2.09439667813934</v>
      </c>
      <c r="AQ99" s="1">
        <f t="shared" si="88"/>
        <v>0.054259979477494</v>
      </c>
      <c r="AR99" s="1">
        <f t="shared" si="89"/>
        <v>0.158002800211044</v>
      </c>
      <c r="AS99" s="1">
        <f t="shared" si="90"/>
        <v>0.413270721596375</v>
      </c>
      <c r="AT99" s="1">
        <f t="shared" si="91"/>
        <v>0.247059691918476</v>
      </c>
      <c r="AU99" s="2">
        <f t="shared" si="92"/>
        <v>0.339782383044246</v>
      </c>
      <c r="AV99" s="2">
        <f t="shared" si="93"/>
        <v>0.177271161657764</v>
      </c>
      <c r="AW99" s="2">
        <f t="shared" si="94"/>
        <v>0.451452706236315</v>
      </c>
      <c r="AX99" s="2">
        <f t="shared" si="95"/>
        <v>-0.0113216722049881</v>
      </c>
      <c r="AY99" s="11">
        <f t="shared" si="96"/>
        <v>1.51069583868257</v>
      </c>
      <c r="AZ99" s="2">
        <f t="shared" si="97"/>
        <v>0.0794876937325578</v>
      </c>
      <c r="BA99" s="1">
        <f t="shared" si="98"/>
        <v>2.19261610121496</v>
      </c>
      <c r="BB99" s="2">
        <f t="shared" si="99"/>
        <v>0.0285731513098951</v>
      </c>
      <c r="BC99" s="1">
        <f t="shared" si="100"/>
        <v>0.572952183582141</v>
      </c>
      <c r="BD99" s="1">
        <f t="shared" si="101"/>
        <v>0.0216871374175435</v>
      </c>
      <c r="BE99" s="2">
        <f t="shared" si="102"/>
        <v>-0.0228144055124821</v>
      </c>
      <c r="BF99" s="1">
        <f t="shared" si="103"/>
        <v>0.387358304232624</v>
      </c>
    </row>
    <row r="100" s="3" customFormat="1" spans="1:58">
      <c r="A100" s="8">
        <v>237.5</v>
      </c>
      <c r="B100" s="9">
        <v>0.121448833911</v>
      </c>
      <c r="C100" s="9">
        <v>0.160204764499</v>
      </c>
      <c r="D100" s="6">
        <v>0.109745000088</v>
      </c>
      <c r="E100" s="10">
        <v>0.21393990008976</v>
      </c>
      <c r="F100" s="9">
        <v>0.261610161281</v>
      </c>
      <c r="G100" s="1">
        <f t="shared" si="52"/>
        <v>1.63297366404251</v>
      </c>
      <c r="H100" s="1">
        <f t="shared" si="53"/>
        <v>0.101405396782</v>
      </c>
      <c r="I100" s="1">
        <f t="shared" si="54"/>
        <v>0.240402580810733</v>
      </c>
      <c r="J100" s="1">
        <f t="shared" si="55"/>
        <v>-0.672301151374831</v>
      </c>
      <c r="K100" s="1">
        <f t="shared" si="56"/>
        <v>0.632973664042513</v>
      </c>
      <c r="L100" s="1">
        <f t="shared" si="57"/>
        <v>0.390087813730507</v>
      </c>
      <c r="M100" s="1">
        <f t="shared" si="58"/>
        <v>0.165009364590504</v>
      </c>
      <c r="N100" s="1">
        <f t="shared" si="59"/>
        <v>0.147412111623993</v>
      </c>
      <c r="O100" s="1">
        <f t="shared" si="60"/>
        <v>0.202178141286804</v>
      </c>
      <c r="P100" s="1">
        <f t="shared" si="61"/>
        <v>0.156134938737392</v>
      </c>
      <c r="Q100" s="2">
        <f t="shared" si="62"/>
        <v>0.408948567277615</v>
      </c>
      <c r="R100" s="1">
        <f t="shared" si="63"/>
        <v>2.38380027400998</v>
      </c>
      <c r="S100" s="2">
        <f t="shared" si="64"/>
        <v>0.331536418184038</v>
      </c>
      <c r="T100" s="1">
        <f t="shared" si="65"/>
        <v>-0.555142193547607</v>
      </c>
      <c r="U100" s="1">
        <f t="shared" si="66"/>
        <v>0.261429267753006</v>
      </c>
      <c r="V100" s="2">
        <f t="shared" si="67"/>
        <v>0.235948943974196</v>
      </c>
      <c r="W100" s="2">
        <f t="shared" si="68"/>
        <v>0.151865161193</v>
      </c>
      <c r="X100" s="1">
        <f t="shared" si="69"/>
        <v>0.24920882827312</v>
      </c>
      <c r="Y100" s="2">
        <f t="shared" si="70"/>
        <v>0.953387941646849</v>
      </c>
      <c r="Z100" s="1">
        <f t="shared" si="71"/>
        <v>0.543956046657411</v>
      </c>
      <c r="AA100" s="1">
        <f t="shared" si="72"/>
        <v>2.76775642598035</v>
      </c>
      <c r="AB100" s="1">
        <f t="shared" si="73"/>
        <v>0.1856775806845</v>
      </c>
      <c r="AC100" s="2">
        <f t="shared" si="74"/>
        <v>1.22282080701748</v>
      </c>
      <c r="AD100" s="2">
        <f t="shared" si="75"/>
        <v>0.04767026119124</v>
      </c>
      <c r="AE100" s="1">
        <f t="shared" si="76"/>
        <v>0.100242361558806</v>
      </c>
      <c r="AF100" s="2">
        <f t="shared" si="77"/>
        <v>0.0691272707253439</v>
      </c>
      <c r="AG100" s="7">
        <f t="shared" si="78"/>
        <v>0.0732975114433253</v>
      </c>
      <c r="AH100" s="1">
        <f t="shared" si="79"/>
        <v>20.1160326769299</v>
      </c>
      <c r="AI100" s="1">
        <f t="shared" si="80"/>
        <v>0.222820807017483</v>
      </c>
      <c r="AJ100" s="1">
        <f t="shared" si="81"/>
        <v>0.149452614228964</v>
      </c>
      <c r="AK100" s="2">
        <f t="shared" si="82"/>
        <v>0.0820622806371133</v>
      </c>
      <c r="AL100" s="2">
        <f t="shared" si="83"/>
        <v>0.0870073127875595</v>
      </c>
      <c r="AM100" s="1">
        <f t="shared" si="84"/>
        <v>2.38380027400998</v>
      </c>
      <c r="AN100" s="1">
        <f t="shared" si="85"/>
        <v>0.10419490000176</v>
      </c>
      <c r="AO100" s="1">
        <f t="shared" si="86"/>
        <v>0.321902257240108</v>
      </c>
      <c r="AP100" s="1">
        <f t="shared" si="87"/>
        <v>1.94942730801595</v>
      </c>
      <c r="AQ100" s="1">
        <f t="shared" si="88"/>
        <v>0.05373513559076</v>
      </c>
      <c r="AR100" s="1">
        <f t="shared" si="89"/>
        <v>0.143621279886011</v>
      </c>
      <c r="AS100" s="1">
        <f t="shared" si="90"/>
        <v>0.457510503781229</v>
      </c>
      <c r="AT100" s="1">
        <f t="shared" si="91"/>
        <v>0.251991424964534</v>
      </c>
      <c r="AU100" s="2">
        <f t="shared" si="92"/>
        <v>0.336513214503837</v>
      </c>
      <c r="AV100" s="2">
        <f t="shared" si="93"/>
        <v>0.187503717893121</v>
      </c>
      <c r="AW100" s="2">
        <f t="shared" si="94"/>
        <v>0.446971414091511</v>
      </c>
      <c r="AX100" s="2">
        <f t="shared" si="95"/>
        <v>-0.00606487439952003</v>
      </c>
      <c r="AY100" s="11">
        <f t="shared" si="96"/>
        <v>1.49760432888476</v>
      </c>
      <c r="AZ100" s="2">
        <f t="shared" si="97"/>
        <v>0.0886912454779512</v>
      </c>
      <c r="BA100" s="1">
        <f t="shared" si="98"/>
        <v>2.37255721995878</v>
      </c>
      <c r="BB100" s="2">
        <f t="shared" si="99"/>
        <v>0.0334920614348276</v>
      </c>
      <c r="BC100" s="1">
        <f t="shared" si="100"/>
        <v>0.621420511416473</v>
      </c>
      <c r="BD100" s="1">
        <f t="shared" si="101"/>
        <v>0.0315884561930013</v>
      </c>
      <c r="BE100" s="2">
        <f t="shared" si="102"/>
        <v>-0.0151816354062001</v>
      </c>
      <c r="BF100" s="1">
        <f t="shared" si="103"/>
        <v>0.416977060815023</v>
      </c>
    </row>
    <row r="101" s="3" customFormat="1" spans="1:58">
      <c r="A101" s="8">
        <v>198.5</v>
      </c>
      <c r="B101" s="9">
        <v>0.0942434111392</v>
      </c>
      <c r="C101" s="9">
        <v>0.129601664164</v>
      </c>
      <c r="D101" s="6">
        <v>0.0823611995641</v>
      </c>
      <c r="E101" s="10">
        <v>0.186008423555382</v>
      </c>
      <c r="F101" s="9">
        <v>0.215449066062</v>
      </c>
      <c r="G101" s="1">
        <f t="shared" si="52"/>
        <v>1.66239428676909</v>
      </c>
      <c r="H101" s="1">
        <f t="shared" si="53"/>
        <v>0.085847401898</v>
      </c>
      <c r="I101" s="1">
        <f t="shared" si="54"/>
        <v>0.24879646491915</v>
      </c>
      <c r="J101" s="1">
        <f t="shared" si="55"/>
        <v>-0.667379034333459</v>
      </c>
      <c r="K101" s="1">
        <f t="shared" si="56"/>
        <v>0.662394286769091</v>
      </c>
      <c r="L101" s="1">
        <f t="shared" si="57"/>
        <v>0.405957333879795</v>
      </c>
      <c r="M101" s="1">
        <f t="shared" si="58"/>
        <v>0.152382689276609</v>
      </c>
      <c r="N101" s="1">
        <f t="shared" si="59"/>
        <v>0.132205924368085</v>
      </c>
      <c r="O101" s="1">
        <f t="shared" si="60"/>
        <v>0.197174224769695</v>
      </c>
      <c r="P101" s="1">
        <f t="shared" si="61"/>
        <v>0.146145578498687</v>
      </c>
      <c r="Q101" s="2">
        <f t="shared" si="62"/>
        <v>0.44688810917281</v>
      </c>
      <c r="R101" s="1">
        <f t="shared" si="63"/>
        <v>2.61590490670696</v>
      </c>
      <c r="S101" s="2">
        <f t="shared" si="64"/>
        <v>0.337218137575905</v>
      </c>
      <c r="T101" s="1">
        <f t="shared" si="65"/>
        <v>-0.5221759086142</v>
      </c>
      <c r="U101" s="1">
        <f t="shared" si="66"/>
        <v>0.250224656598251</v>
      </c>
      <c r="V101" s="2">
        <f t="shared" si="67"/>
        <v>0.219776156641697</v>
      </c>
      <c r="W101" s="2">
        <f t="shared" si="68"/>
        <v>0.1330878664979</v>
      </c>
      <c r="X101" s="1">
        <f t="shared" si="69"/>
        <v>0.243875757329608</v>
      </c>
      <c r="Y101" s="2">
        <f t="shared" si="70"/>
        <v>0.973081758729866</v>
      </c>
      <c r="Z101" s="1">
        <f t="shared" si="71"/>
        <v>0.617375932400058</v>
      </c>
      <c r="AA101" s="1">
        <f t="shared" si="72"/>
        <v>2.850144857175</v>
      </c>
      <c r="AB101" s="1">
        <f t="shared" si="73"/>
        <v>0.14890513281305</v>
      </c>
      <c r="AC101" s="2">
        <f t="shared" si="74"/>
        <v>1.15827585624289</v>
      </c>
      <c r="AD101" s="2">
        <f t="shared" si="75"/>
        <v>0.029440642506618</v>
      </c>
      <c r="AE101" s="1">
        <f t="shared" si="76"/>
        <v>0.0733343959647559</v>
      </c>
      <c r="AF101" s="2">
        <f t="shared" si="77"/>
        <v>0.0464651668999171</v>
      </c>
      <c r="AG101" s="7">
        <f t="shared" si="78"/>
        <v>0.0489884040773468</v>
      </c>
      <c r="AH101" s="1">
        <f t="shared" si="79"/>
        <v>14.6932568607771</v>
      </c>
      <c r="AI101" s="1">
        <f t="shared" si="80"/>
        <v>0.158275856242889</v>
      </c>
      <c r="AJ101" s="1">
        <f t="shared" si="81"/>
        <v>0.107736086402731</v>
      </c>
      <c r="AK101" s="2">
        <f t="shared" si="82"/>
        <v>0.0553527143766076</v>
      </c>
      <c r="AL101" s="2">
        <f t="shared" si="83"/>
        <v>0.0608258789653869</v>
      </c>
      <c r="AM101" s="1">
        <f t="shared" si="84"/>
        <v>2.61590490670696</v>
      </c>
      <c r="AN101" s="1">
        <f t="shared" si="85"/>
        <v>0.103647223991282</v>
      </c>
      <c r="AO101" s="1">
        <f t="shared" si="86"/>
        <v>0.386210714858502</v>
      </c>
      <c r="AP101" s="1">
        <f t="shared" si="87"/>
        <v>2.25844723656089</v>
      </c>
      <c r="AQ101" s="1">
        <f t="shared" si="88"/>
        <v>0.056406759391382</v>
      </c>
      <c r="AR101" s="1">
        <f t="shared" si="89"/>
        <v>0.178722929292219</v>
      </c>
      <c r="AS101" s="1">
        <f t="shared" si="90"/>
        <v>0.284046608996439</v>
      </c>
      <c r="AT101" s="1">
        <f t="shared" si="91"/>
        <v>0.244043743980642</v>
      </c>
      <c r="AU101" s="2">
        <f t="shared" si="92"/>
        <v>0.3502593303042</v>
      </c>
      <c r="AV101" s="2">
        <f t="shared" si="93"/>
        <v>0.170231537982622</v>
      </c>
      <c r="AW101" s="2">
        <f t="shared" si="94"/>
        <v>0.445309515485013</v>
      </c>
      <c r="AX101" s="2">
        <f t="shared" si="95"/>
        <v>-0.026966116884764</v>
      </c>
      <c r="AY101" s="11">
        <f t="shared" si="96"/>
        <v>1.55028415019512</v>
      </c>
      <c r="AZ101" s="2">
        <f t="shared" si="97"/>
        <v>0.0541392447563717</v>
      </c>
      <c r="BA101" s="1">
        <f t="shared" si="98"/>
        <v>2.02907224799871</v>
      </c>
      <c r="BB101" s="2">
        <f t="shared" si="99"/>
        <v>0.0142133908197671</v>
      </c>
      <c r="BC101" s="1">
        <f t="shared" si="100"/>
        <v>0.504273847410006</v>
      </c>
      <c r="BD101" s="1">
        <f t="shared" si="101"/>
        <v>-0.00416954999418268</v>
      </c>
      <c r="BE101" s="2">
        <f t="shared" si="102"/>
        <v>-0.045600019441026</v>
      </c>
      <c r="BF101" s="1">
        <f t="shared" si="103"/>
        <v>0.294756583412819</v>
      </c>
    </row>
    <row r="102" s="3" customFormat="1" spans="1:58">
      <c r="A102" s="8">
        <v>200.5</v>
      </c>
      <c r="B102" s="9">
        <v>0.104894878617</v>
      </c>
      <c r="C102" s="9">
        <v>0.145254233743</v>
      </c>
      <c r="D102" s="6">
        <v>0.0961964041072</v>
      </c>
      <c r="E102" s="10">
        <v>0.200120332189344</v>
      </c>
      <c r="F102" s="9">
        <v>0.218558874328</v>
      </c>
      <c r="G102" s="1">
        <f t="shared" si="52"/>
        <v>1.50466439907493</v>
      </c>
      <c r="H102" s="1">
        <f t="shared" si="53"/>
        <v>0.073304640585</v>
      </c>
      <c r="I102" s="1">
        <f t="shared" si="54"/>
        <v>0.201489828042958</v>
      </c>
      <c r="J102" s="1">
        <f t="shared" si="55"/>
        <v>-0.694111659709318</v>
      </c>
      <c r="K102" s="1">
        <f t="shared" si="56"/>
        <v>0.504664399074926</v>
      </c>
      <c r="L102" s="1">
        <f t="shared" si="57"/>
        <v>0.318880452503771</v>
      </c>
      <c r="M102" s="1">
        <f t="shared" si="58"/>
        <v>0.12729253567713</v>
      </c>
      <c r="N102" s="1">
        <f t="shared" si="59"/>
        <v>0.110514817778211</v>
      </c>
      <c r="O102" s="1">
        <f t="shared" si="60"/>
        <v>0.1623353477956</v>
      </c>
      <c r="P102" s="1">
        <f t="shared" si="61"/>
        <v>0.121532462437912</v>
      </c>
      <c r="Q102" s="2">
        <f t="shared" si="62"/>
        <v>0.38875430724823</v>
      </c>
      <c r="R102" s="1">
        <f t="shared" si="63"/>
        <v>2.27200669667902</v>
      </c>
      <c r="S102" s="2">
        <f t="shared" si="64"/>
        <v>0.298976065993338</v>
      </c>
      <c r="T102" s="1">
        <f t="shared" si="65"/>
        <v>-0.571535341582749</v>
      </c>
      <c r="U102" s="1">
        <f t="shared" si="66"/>
        <v>0.225274644042454</v>
      </c>
      <c r="V102" s="2">
        <f t="shared" si="67"/>
        <v>0.197404467809238</v>
      </c>
      <c r="W102" s="2">
        <f t="shared" si="68"/>
        <v>0.1223624702208</v>
      </c>
      <c r="X102" s="1">
        <f t="shared" si="69"/>
        <v>0.218103042949587</v>
      </c>
      <c r="Y102" s="2">
        <f t="shared" si="70"/>
        <v>0.942737666187275</v>
      </c>
      <c r="Z102" s="1">
        <f t="shared" si="71"/>
        <v>0.507317715904323</v>
      </c>
      <c r="AA102" s="1">
        <f t="shared" si="72"/>
        <v>2.7815334590627</v>
      </c>
      <c r="AB102" s="1">
        <f t="shared" si="73"/>
        <v>0.1573776392176</v>
      </c>
      <c r="AC102" s="2">
        <f t="shared" si="74"/>
        <v>1.092137275293</v>
      </c>
      <c r="AD102" s="2">
        <f t="shared" si="75"/>
        <v>0.018438542138656</v>
      </c>
      <c r="AE102" s="1">
        <f t="shared" si="76"/>
        <v>0.0440397847603453</v>
      </c>
      <c r="AF102" s="2">
        <f t="shared" si="77"/>
        <v>0.0284961300369184</v>
      </c>
      <c r="AG102" s="7">
        <f t="shared" si="78"/>
        <v>0.030106062063637</v>
      </c>
      <c r="AH102" s="1">
        <f t="shared" si="79"/>
        <v>8.81365793971502</v>
      </c>
      <c r="AI102" s="1">
        <f t="shared" si="80"/>
        <v>0.092137275292999</v>
      </c>
      <c r="AJ102" s="1">
        <f t="shared" si="81"/>
        <v>0.0637001238013582</v>
      </c>
      <c r="AK102" s="2">
        <f t="shared" si="82"/>
        <v>0.0339461602029789</v>
      </c>
      <c r="AL102" s="2">
        <f t="shared" si="83"/>
        <v>0.0369612535580192</v>
      </c>
      <c r="AM102" s="1">
        <f t="shared" si="84"/>
        <v>2.27200669667902</v>
      </c>
      <c r="AN102" s="1">
        <f t="shared" si="85"/>
        <v>0.103923928082144</v>
      </c>
      <c r="AO102" s="1">
        <f t="shared" si="86"/>
        <v>0.350719062922387</v>
      </c>
      <c r="AP102" s="1">
        <f t="shared" si="87"/>
        <v>2.08033069475583</v>
      </c>
      <c r="AQ102" s="1">
        <f t="shared" si="88"/>
        <v>0.054866098446344</v>
      </c>
      <c r="AR102" s="1">
        <f t="shared" si="89"/>
        <v>0.158859695699456</v>
      </c>
      <c r="AS102" s="1">
        <f t="shared" si="90"/>
        <v>0.177423452701689</v>
      </c>
      <c r="AT102" s="1">
        <f t="shared" si="91"/>
        <v>0.257573364821108</v>
      </c>
      <c r="AU102" s="2">
        <f t="shared" si="92"/>
        <v>0.354865162982633</v>
      </c>
      <c r="AV102" s="2">
        <f t="shared" si="93"/>
        <v>0.186834260784879</v>
      </c>
      <c r="AW102" s="2">
        <f t="shared" si="94"/>
        <v>0.424488691672321</v>
      </c>
      <c r="AX102" s="2">
        <f t="shared" si="95"/>
        <v>-0.036427556307688</v>
      </c>
      <c r="AY102" s="11">
        <f t="shared" si="96"/>
        <v>1.66923225111397</v>
      </c>
      <c r="AZ102" s="2">
        <f t="shared" si="97"/>
        <v>0.0346621946000729</v>
      </c>
      <c r="BA102" s="1">
        <f t="shared" si="98"/>
        <v>2.41043323897121</v>
      </c>
      <c r="BB102" s="2">
        <f t="shared" si="99"/>
        <v>0.00412567308471999</v>
      </c>
      <c r="BC102" s="1">
        <f t="shared" si="100"/>
        <v>0.504226962446588</v>
      </c>
      <c r="BD102" s="1">
        <f t="shared" si="101"/>
        <v>-0.0248663424790712</v>
      </c>
      <c r="BE102" s="2">
        <f t="shared" si="102"/>
        <v>-0.0590396128966321</v>
      </c>
      <c r="BF102" s="1">
        <f t="shared" si="103"/>
        <v>0.218570759566859</v>
      </c>
    </row>
    <row r="103" s="3" customFormat="1" spans="1:58">
      <c r="A103" s="8">
        <v>196</v>
      </c>
      <c r="B103" s="9">
        <v>0.12367816944</v>
      </c>
      <c r="C103" s="9">
        <v>0.162341196269</v>
      </c>
      <c r="D103" s="6">
        <v>0.115169310835</v>
      </c>
      <c r="E103" s="10">
        <v>0.2194726970517</v>
      </c>
      <c r="F103" s="9">
        <v>0.222788718919</v>
      </c>
      <c r="G103" s="1">
        <f t="shared" si="52"/>
        <v>1.37234863386024</v>
      </c>
      <c r="H103" s="1">
        <f t="shared" si="53"/>
        <v>0.06044752265</v>
      </c>
      <c r="I103" s="1">
        <f t="shared" si="54"/>
        <v>0.156953589597143</v>
      </c>
      <c r="J103" s="1">
        <f t="shared" si="55"/>
        <v>-0.717207170294894</v>
      </c>
      <c r="K103" s="1">
        <f t="shared" si="56"/>
        <v>0.372348633860245</v>
      </c>
      <c r="L103" s="1">
        <f t="shared" si="57"/>
        <v>0.24174667457063</v>
      </c>
      <c r="M103" s="1">
        <f t="shared" si="58"/>
        <v>0.102438390590088</v>
      </c>
      <c r="N103" s="1">
        <f t="shared" si="59"/>
        <v>0.0891259640591541</v>
      </c>
      <c r="O103" s="1">
        <f t="shared" si="60"/>
        <v>0.128628285332347</v>
      </c>
      <c r="P103" s="1">
        <f t="shared" si="61"/>
        <v>0.0974035710955822</v>
      </c>
      <c r="Q103" s="2">
        <f t="shared" si="62"/>
        <v>0.318440157087956</v>
      </c>
      <c r="R103" s="1">
        <f t="shared" si="63"/>
        <v>1.93444518599389</v>
      </c>
      <c r="S103" s="2">
        <f t="shared" si="64"/>
        <v>0.250700874206431</v>
      </c>
      <c r="T103" s="1">
        <f t="shared" si="65"/>
        <v>-0.623200835048662</v>
      </c>
      <c r="U103" s="1">
        <f t="shared" si="66"/>
        <v>0.192645820427774</v>
      </c>
      <c r="V103" s="2">
        <f t="shared" si="67"/>
        <v>0.168546248488802</v>
      </c>
      <c r="W103" s="2">
        <f t="shared" si="68"/>
        <v>0.107619408084</v>
      </c>
      <c r="X103" s="1">
        <f t="shared" si="69"/>
        <v>0.185122503267382</v>
      </c>
      <c r="Y103" s="2">
        <f t="shared" si="70"/>
        <v>0.904676824666111</v>
      </c>
      <c r="Z103" s="1">
        <f t="shared" si="71"/>
        <v>0.390843336251029</v>
      </c>
      <c r="AA103" s="1">
        <f t="shared" si="72"/>
        <v>2.69294607841297</v>
      </c>
      <c r="AB103" s="1">
        <f t="shared" si="73"/>
        <v>0.168979014877</v>
      </c>
      <c r="AC103" s="2">
        <f t="shared" si="74"/>
        <v>1.015109040495</v>
      </c>
      <c r="AD103" s="2">
        <f t="shared" si="75"/>
        <v>0.00331602186729998</v>
      </c>
      <c r="AE103" s="1">
        <f t="shared" si="76"/>
        <v>0.00749787738100959</v>
      </c>
      <c r="AF103" s="2">
        <f t="shared" si="77"/>
        <v>0.0049862937492452</v>
      </c>
      <c r="AG103" s="7">
        <f t="shared" si="78"/>
        <v>0.00527882466228952</v>
      </c>
      <c r="AH103" s="1">
        <f t="shared" si="79"/>
        <v>1.49960357827714</v>
      </c>
      <c r="AI103" s="1">
        <f t="shared" si="80"/>
        <v>0.0151090404949954</v>
      </c>
      <c r="AJ103" s="1">
        <f t="shared" si="81"/>
        <v>0.0106435770761612</v>
      </c>
      <c r="AK103" s="2">
        <f t="shared" si="82"/>
        <v>0.0059358972935795</v>
      </c>
      <c r="AL103" s="2">
        <f t="shared" si="83"/>
        <v>0.00638690320193967</v>
      </c>
      <c r="AM103" s="1">
        <f t="shared" si="84"/>
        <v>1.93444518599389</v>
      </c>
      <c r="AN103" s="1">
        <f t="shared" si="85"/>
        <v>0.1043033862167</v>
      </c>
      <c r="AO103" s="1">
        <f t="shared" si="86"/>
        <v>0.311686470193587</v>
      </c>
      <c r="AP103" s="1">
        <f t="shared" si="87"/>
        <v>1.90565260363616</v>
      </c>
      <c r="AQ103" s="1">
        <f t="shared" si="88"/>
        <v>0.0571315007827</v>
      </c>
      <c r="AR103" s="1">
        <f t="shared" si="89"/>
        <v>0.149631801728894</v>
      </c>
      <c r="AS103" s="1">
        <f t="shared" si="90"/>
        <v>0.0317920825735287</v>
      </c>
      <c r="AT103" s="1">
        <f t="shared" si="91"/>
        <v>0.268508923022381</v>
      </c>
      <c r="AU103" s="2">
        <f t="shared" si="92"/>
        <v>0.363003223288569</v>
      </c>
      <c r="AV103" s="2">
        <f t="shared" si="93"/>
        <v>0.206607395855205</v>
      </c>
      <c r="AW103" s="2">
        <f t="shared" si="94"/>
        <v>0.399670682302836</v>
      </c>
      <c r="AX103" s="2">
        <f t="shared" si="95"/>
        <v>-0.0538154789154</v>
      </c>
      <c r="AY103" s="11">
        <f t="shared" si="96"/>
        <v>1.78037748059804</v>
      </c>
      <c r="AZ103" s="2">
        <f t="shared" si="97"/>
        <v>0.00627053045167953</v>
      </c>
      <c r="BA103" s="1">
        <f t="shared" si="98"/>
        <v>2.78959975027382</v>
      </c>
      <c r="BB103" s="2">
        <f t="shared" si="99"/>
        <v>-0.00890604156753289</v>
      </c>
      <c r="BC103" s="1">
        <f t="shared" si="100"/>
        <v>0.503572798018983</v>
      </c>
      <c r="BD103" s="1">
        <f t="shared" si="101"/>
        <v>-0.0555991948453732</v>
      </c>
      <c r="BE103" s="2">
        <f t="shared" si="102"/>
        <v>-0.0843500697321</v>
      </c>
      <c r="BF103" s="1">
        <f t="shared" si="103"/>
        <v>0.0477713023337317</v>
      </c>
    </row>
    <row r="104" s="3" customFormat="1" spans="1:58">
      <c r="A104" s="8">
        <v>206</v>
      </c>
      <c r="B104" s="9">
        <v>0.0943057885629</v>
      </c>
      <c r="C104" s="9">
        <v>0.137295617461</v>
      </c>
      <c r="D104" s="6">
        <v>0.0911545556043</v>
      </c>
      <c r="E104" s="10">
        <v>0.194977646716386</v>
      </c>
      <c r="F104" s="9">
        <v>0.22955104454</v>
      </c>
      <c r="G104" s="1">
        <f t="shared" si="52"/>
        <v>1.67194735553162</v>
      </c>
      <c r="H104" s="1">
        <f t="shared" si="53"/>
        <v>0.092255427079</v>
      </c>
      <c r="I104" s="1">
        <f t="shared" si="54"/>
        <v>0.251482258488558</v>
      </c>
      <c r="J104" s="1">
        <f t="shared" si="55"/>
        <v>-0.665787016371793</v>
      </c>
      <c r="K104" s="1">
        <f t="shared" si="56"/>
        <v>0.671947355531621</v>
      </c>
      <c r="L104" s="1">
        <f t="shared" si="57"/>
        <v>0.411075222501315</v>
      </c>
      <c r="M104" s="1">
        <f t="shared" si="58"/>
        <v>0.159639699481637</v>
      </c>
      <c r="N104" s="1">
        <f t="shared" si="59"/>
        <v>0.13986140377004</v>
      </c>
      <c r="O104" s="1">
        <f t="shared" si="60"/>
        <v>0.203126076580204</v>
      </c>
      <c r="P104" s="1">
        <f t="shared" si="61"/>
        <v>0.152317442072973</v>
      </c>
      <c r="Q104" s="2">
        <f t="shared" si="62"/>
        <v>0.431537487569376</v>
      </c>
      <c r="R104" s="1">
        <f t="shared" si="63"/>
        <v>2.51826190164841</v>
      </c>
      <c r="S104" s="2">
        <f t="shared" si="64"/>
        <v>0.333967249637243</v>
      </c>
      <c r="T104" s="1">
        <f t="shared" si="65"/>
        <v>-0.535872496694235</v>
      </c>
      <c r="U104" s="1">
        <f t="shared" si="66"/>
        <v>0.252946651475328</v>
      </c>
      <c r="V104" s="2">
        <f t="shared" si="67"/>
        <v>0.2241286976676</v>
      </c>
      <c r="W104" s="2">
        <f t="shared" si="68"/>
        <v>0.1383964889357</v>
      </c>
      <c r="X104" s="1">
        <f t="shared" si="69"/>
        <v>0.24438345509411</v>
      </c>
      <c r="Y104" s="2">
        <f t="shared" si="70"/>
        <v>0.965161897077053</v>
      </c>
      <c r="Z104" s="1">
        <f t="shared" si="71"/>
        <v>0.586903242686336</v>
      </c>
      <c r="AA104" s="1">
        <f t="shared" si="72"/>
        <v>2.82064675084758</v>
      </c>
      <c r="AB104" s="1">
        <f t="shared" si="73"/>
        <v>0.16035280007215</v>
      </c>
      <c r="AC104" s="2">
        <f t="shared" si="74"/>
        <v>1.1773198025818</v>
      </c>
      <c r="AD104" s="2">
        <f t="shared" si="75"/>
        <v>0.034573397823614</v>
      </c>
      <c r="AE104" s="1">
        <f t="shared" si="76"/>
        <v>0.0814394846230406</v>
      </c>
      <c r="AF104" s="2">
        <f t="shared" si="77"/>
        <v>0.0530626017117751</v>
      </c>
      <c r="AG104" s="7">
        <f t="shared" si="78"/>
        <v>0.0560935503958734</v>
      </c>
      <c r="AH104" s="1">
        <f t="shared" si="79"/>
        <v>16.3240501296749</v>
      </c>
      <c r="AI104" s="1">
        <f t="shared" si="80"/>
        <v>0.177319802581802</v>
      </c>
      <c r="AJ104" s="1">
        <f t="shared" si="81"/>
        <v>0.120170018456025</v>
      </c>
      <c r="AK104" s="2">
        <f t="shared" si="82"/>
        <v>0.0631896464777415</v>
      </c>
      <c r="AL104" s="2">
        <f t="shared" si="83"/>
        <v>0.0686110743155998</v>
      </c>
      <c r="AM104" s="1">
        <f t="shared" si="84"/>
        <v>2.51826190164841</v>
      </c>
      <c r="AN104" s="1">
        <f t="shared" si="85"/>
        <v>0.103823091112086</v>
      </c>
      <c r="AO104" s="1">
        <f t="shared" si="86"/>
        <v>0.36285007514018</v>
      </c>
      <c r="AP104" s="1">
        <f t="shared" si="87"/>
        <v>2.1389786327606</v>
      </c>
      <c r="AQ104" s="1">
        <f t="shared" si="88"/>
        <v>0.057682029255386</v>
      </c>
      <c r="AR104" s="1">
        <f t="shared" si="89"/>
        <v>0.173598165949916</v>
      </c>
      <c r="AS104" s="1">
        <f t="shared" si="90"/>
        <v>0.333002971239693</v>
      </c>
      <c r="AT104" s="1">
        <f t="shared" si="91"/>
        <v>0.244374647609033</v>
      </c>
      <c r="AU104" s="2">
        <f t="shared" si="92"/>
        <v>0.347043806562071</v>
      </c>
      <c r="AV104" s="2">
        <f t="shared" si="93"/>
        <v>0.176764624717246</v>
      </c>
      <c r="AW104" s="2">
        <f t="shared" si="94"/>
        <v>0.445139619984619</v>
      </c>
      <c r="AX104" s="2">
        <f t="shared" si="95"/>
        <v>-0.023108631431772</v>
      </c>
      <c r="AY104" s="11">
        <f t="shared" si="96"/>
        <v>1.50014468869337</v>
      </c>
      <c r="AZ104" s="2">
        <f t="shared" si="97"/>
        <v>0.0631039698955784</v>
      </c>
      <c r="BA104" s="1">
        <f t="shared" si="98"/>
        <v>2.06195730075695</v>
      </c>
      <c r="BB104" s="2">
        <f t="shared" si="99"/>
        <v>0.0189811176611297</v>
      </c>
      <c r="BC104" s="1">
        <f t="shared" si="100"/>
        <v>0.5396908031386</v>
      </c>
      <c r="BD104" s="1">
        <f t="shared" si="101"/>
        <v>0.0059580372517662</v>
      </c>
      <c r="BE104" s="2">
        <f t="shared" si="102"/>
        <v>-0.040198272772398</v>
      </c>
      <c r="BF104" s="1">
        <f t="shared" si="103"/>
        <v>0.323837892631086</v>
      </c>
    </row>
    <row r="105" s="3" customFormat="1" spans="1:58">
      <c r="A105" s="8">
        <v>193.5</v>
      </c>
      <c r="B105" s="9">
        <v>0.0774203320471</v>
      </c>
      <c r="C105" s="9">
        <v>0.11684789969</v>
      </c>
      <c r="D105" s="6">
        <v>0.0673083470876</v>
      </c>
      <c r="E105" s="10">
        <v>0.170654514029352</v>
      </c>
      <c r="F105" s="9">
        <v>0.236695200076</v>
      </c>
      <c r="G105" s="1">
        <f t="shared" si="52"/>
        <v>2.02566927350819</v>
      </c>
      <c r="H105" s="1">
        <f t="shared" si="53"/>
        <v>0.119847300386</v>
      </c>
      <c r="I105" s="1">
        <f t="shared" si="54"/>
        <v>0.338989222149502</v>
      </c>
      <c r="J105" s="1">
        <f t="shared" si="55"/>
        <v>-0.608906503765073</v>
      </c>
      <c r="K105" s="1">
        <f t="shared" si="56"/>
        <v>1.02566927350819</v>
      </c>
      <c r="L105" s="1">
        <f t="shared" si="57"/>
        <v>0.58965314313517</v>
      </c>
      <c r="M105" s="1">
        <f t="shared" si="58"/>
        <v>0.210617308754865</v>
      </c>
      <c r="N105" s="1">
        <f t="shared" si="59"/>
        <v>0.186217937109565</v>
      </c>
      <c r="O105" s="1">
        <f t="shared" si="60"/>
        <v>0.27071314659102</v>
      </c>
      <c r="P105" s="1">
        <f t="shared" si="61"/>
        <v>0.201561263973433</v>
      </c>
      <c r="Q105" s="2">
        <f t="shared" si="62"/>
        <v>0.557187093929678</v>
      </c>
      <c r="R105" s="1">
        <f t="shared" si="63"/>
        <v>3.51658019127921</v>
      </c>
      <c r="S105" s="2">
        <f t="shared" si="64"/>
        <v>0.423463895195752</v>
      </c>
      <c r="T105" s="1">
        <f t="shared" si="65"/>
        <v>-0.406480024689599</v>
      </c>
      <c r="U105" s="1">
        <f t="shared" si="66"/>
        <v>0.316018853870677</v>
      </c>
      <c r="V105" s="2">
        <f t="shared" si="67"/>
        <v>0.285091267588452</v>
      </c>
      <c r="W105" s="2">
        <f t="shared" si="68"/>
        <v>0.1693868529884</v>
      </c>
      <c r="X105" s="1">
        <f t="shared" si="69"/>
        <v>0.307213554984965</v>
      </c>
      <c r="Y105" s="2">
        <f t="shared" si="70"/>
        <v>1.02819603866659</v>
      </c>
      <c r="Z105" s="1">
        <f t="shared" si="71"/>
        <v>0.875254700375181</v>
      </c>
      <c r="AA105" s="1">
        <f t="shared" si="72"/>
        <v>2.96000577671382</v>
      </c>
      <c r="AB105" s="1">
        <f t="shared" si="73"/>
        <v>0.1520017735818</v>
      </c>
      <c r="AC105" s="2">
        <f t="shared" si="74"/>
        <v>1.3869847007697</v>
      </c>
      <c r="AD105" s="2">
        <f t="shared" si="75"/>
        <v>0.066040686046648</v>
      </c>
      <c r="AE105" s="1">
        <f t="shared" si="76"/>
        <v>0.162122824098922</v>
      </c>
      <c r="AF105" s="2">
        <f t="shared" si="77"/>
        <v>0.10347319714454</v>
      </c>
      <c r="AG105" s="7">
        <f t="shared" si="78"/>
        <v>0.10917623880848</v>
      </c>
      <c r="AH105" s="1">
        <f t="shared" si="79"/>
        <v>32.7132110824637</v>
      </c>
      <c r="AI105" s="1">
        <f t="shared" si="80"/>
        <v>0.386984700769704</v>
      </c>
      <c r="AJ105" s="1">
        <f t="shared" si="81"/>
        <v>0.250477648846879</v>
      </c>
      <c r="AK105" s="2">
        <f t="shared" si="82"/>
        <v>0.123209691573431</v>
      </c>
      <c r="AL105" s="2">
        <f t="shared" si="83"/>
        <v>0.135026411240751</v>
      </c>
      <c r="AM105" s="1">
        <f t="shared" si="84"/>
        <v>3.51658019127921</v>
      </c>
      <c r="AN105" s="1">
        <f t="shared" si="85"/>
        <v>0.103346166941752</v>
      </c>
      <c r="AO105" s="1">
        <f t="shared" si="86"/>
        <v>0.434295362127791</v>
      </c>
      <c r="AP105" s="1">
        <f t="shared" si="87"/>
        <v>2.53541382924245</v>
      </c>
      <c r="AQ105" s="1">
        <f t="shared" si="88"/>
        <v>0.053806614339352</v>
      </c>
      <c r="AR105" s="1">
        <f t="shared" si="89"/>
        <v>0.187151869938302</v>
      </c>
      <c r="AS105" s="1">
        <f t="shared" si="90"/>
        <v>0.639024048989353</v>
      </c>
      <c r="AT105" s="1">
        <f t="shared" si="91"/>
        <v>0.222908110634051</v>
      </c>
      <c r="AU105" s="2">
        <f t="shared" si="92"/>
        <v>0.325553778838787</v>
      </c>
      <c r="AV105" s="2">
        <f t="shared" si="93"/>
        <v>0.141803863856088</v>
      </c>
      <c r="AW105" s="2">
        <f t="shared" si="94"/>
        <v>0.498664658683173</v>
      </c>
      <c r="AX105" s="2">
        <f t="shared" si="95"/>
        <v>0.012234071707296</v>
      </c>
      <c r="AY105" s="11">
        <f t="shared" si="96"/>
        <v>1.41335559868971</v>
      </c>
      <c r="AZ105" s="2">
        <f t="shared" si="97"/>
        <v>0.119270478770328</v>
      </c>
      <c r="BA105" s="1">
        <f t="shared" si="98"/>
        <v>1.7260565988432</v>
      </c>
      <c r="BB105" s="2">
        <f t="shared" si="99"/>
        <v>0.0583521467622494</v>
      </c>
      <c r="BC105" s="1">
        <f t="shared" si="100"/>
        <v>0.575214138705044</v>
      </c>
      <c r="BD105" s="1">
        <f t="shared" si="101"/>
        <v>0.0571598739760813</v>
      </c>
      <c r="BE105" s="2">
        <f t="shared" si="102"/>
        <v>0.011160269537784</v>
      </c>
      <c r="BF105" s="1">
        <f t="shared" si="103"/>
        <v>0.478253624321489</v>
      </c>
    </row>
    <row r="106" s="3" customFormat="1" spans="1:58">
      <c r="A106" s="8">
        <v>197</v>
      </c>
      <c r="B106" s="9">
        <v>0.108818616799</v>
      </c>
      <c r="C106" s="9">
        <v>0.157286962822</v>
      </c>
      <c r="D106" s="6">
        <v>0.109611534721</v>
      </c>
      <c r="E106" s="10">
        <v>0.21380376541542</v>
      </c>
      <c r="F106" s="9">
        <v>0.238174706114</v>
      </c>
      <c r="G106" s="1">
        <f t="shared" si="52"/>
        <v>1.51426858171036</v>
      </c>
      <c r="H106" s="1">
        <f t="shared" si="53"/>
        <v>0.080887743292</v>
      </c>
      <c r="I106" s="1">
        <f t="shared" si="54"/>
        <v>0.204540034207691</v>
      </c>
      <c r="J106" s="1">
        <f t="shared" si="55"/>
        <v>-0.692459424177761</v>
      </c>
      <c r="K106" s="1">
        <f t="shared" si="56"/>
        <v>0.51426858171036</v>
      </c>
      <c r="L106" s="1">
        <f t="shared" si="57"/>
        <v>0.32432778680677</v>
      </c>
      <c r="M106" s="1">
        <f t="shared" si="58"/>
        <v>0.135496157062946</v>
      </c>
      <c r="N106" s="1">
        <f t="shared" si="59"/>
        <v>0.11920264683952</v>
      </c>
      <c r="O106" s="1">
        <f t="shared" si="60"/>
        <v>0.168922155147903</v>
      </c>
      <c r="P106" s="1">
        <f t="shared" si="61"/>
        <v>0.128626520515517</v>
      </c>
      <c r="Q106" s="2">
        <f t="shared" si="62"/>
        <v>0.369661465284919</v>
      </c>
      <c r="R106" s="1">
        <f t="shared" si="63"/>
        <v>2.17289819652866</v>
      </c>
      <c r="S106" s="2">
        <f t="shared" si="64"/>
        <v>0.293693028331461</v>
      </c>
      <c r="T106" s="1">
        <f t="shared" si="65"/>
        <v>-0.586360115831712</v>
      </c>
      <c r="U106" s="1">
        <f t="shared" si="66"/>
        <v>0.227468609185688</v>
      </c>
      <c r="V106" s="2">
        <f t="shared" si="67"/>
        <v>0.201727547522876</v>
      </c>
      <c r="W106" s="2">
        <f t="shared" si="68"/>
        <v>0.128563171393</v>
      </c>
      <c r="X106" s="1">
        <f t="shared" si="69"/>
        <v>0.218001950263782</v>
      </c>
      <c r="Y106" s="2">
        <f t="shared" si="70"/>
        <v>0.932556413995914</v>
      </c>
      <c r="Z106" s="1">
        <f t="shared" si="71"/>
        <v>0.474075370029859</v>
      </c>
      <c r="AA106" s="1">
        <f t="shared" si="72"/>
        <v>2.73806798350043</v>
      </c>
      <c r="AB106" s="1">
        <f t="shared" si="73"/>
        <v>0.1738931204175</v>
      </c>
      <c r="AC106" s="2">
        <f t="shared" si="74"/>
        <v>1.11398742511025</v>
      </c>
      <c r="AD106" s="2">
        <f t="shared" si="75"/>
        <v>0.02437094069858</v>
      </c>
      <c r="AE106" s="1">
        <f t="shared" si="76"/>
        <v>0.0539205785977211</v>
      </c>
      <c r="AF106" s="2">
        <f t="shared" si="77"/>
        <v>0.0362504513549581</v>
      </c>
      <c r="AG106" s="7">
        <f t="shared" si="78"/>
        <v>0.0384004598225205</v>
      </c>
      <c r="AH106" s="1">
        <f t="shared" si="79"/>
        <v>10.7945853389543</v>
      </c>
      <c r="AI106" s="1">
        <f t="shared" si="80"/>
        <v>0.113987425110252</v>
      </c>
      <c r="AJ106" s="1">
        <f t="shared" si="81"/>
        <v>0.0783981371896627</v>
      </c>
      <c r="AK106" s="2">
        <f t="shared" si="82"/>
        <v>0.0431198447050342</v>
      </c>
      <c r="AL106" s="2">
        <f t="shared" si="83"/>
        <v>0.046194911300885</v>
      </c>
      <c r="AM106" s="1">
        <f t="shared" si="84"/>
        <v>2.17289819652866</v>
      </c>
      <c r="AN106" s="1">
        <f t="shared" si="85"/>
        <v>0.10419223069442</v>
      </c>
      <c r="AO106" s="1">
        <f t="shared" si="86"/>
        <v>0.322162342506587</v>
      </c>
      <c r="AP106" s="1">
        <f t="shared" si="87"/>
        <v>1.950558998737</v>
      </c>
      <c r="AQ106" s="1">
        <f t="shared" si="88"/>
        <v>0.05651680259342</v>
      </c>
      <c r="AR106" s="1">
        <f t="shared" si="89"/>
        <v>0.152299150296369</v>
      </c>
      <c r="AS106" s="1">
        <f t="shared" si="90"/>
        <v>0.23390362732569</v>
      </c>
      <c r="AT106" s="1">
        <f t="shared" si="91"/>
        <v>0.258158355872324</v>
      </c>
      <c r="AU106" s="2">
        <f t="shared" si="92"/>
        <v>0.350920556724213</v>
      </c>
      <c r="AV106" s="2">
        <f t="shared" si="93"/>
        <v>0.195180707457466</v>
      </c>
      <c r="AW106" s="2">
        <f t="shared" si="94"/>
        <v>0.424107807231518</v>
      </c>
      <c r="AX106" s="2">
        <f t="shared" si="95"/>
        <v>-0.0321458618948401</v>
      </c>
      <c r="AY106" s="11">
        <f t="shared" si="96"/>
        <v>1.5894023761906</v>
      </c>
      <c r="AZ106" s="2">
        <f t="shared" si="97"/>
        <v>0.0454225782545552</v>
      </c>
      <c r="BA106" s="1">
        <f t="shared" si="98"/>
        <v>2.46676603134529</v>
      </c>
      <c r="BB106" s="2">
        <f t="shared" si="99"/>
        <v>0.0091273357017589</v>
      </c>
      <c r="BC106" s="1">
        <f t="shared" si="100"/>
        <v>0.552657792576638</v>
      </c>
      <c r="BD106" s="1">
        <f t="shared" si="101"/>
        <v>-0.0128178316627178</v>
      </c>
      <c r="BE106" s="2">
        <f t="shared" si="102"/>
        <v>-0.0530720574397801</v>
      </c>
      <c r="BF106" s="1">
        <f t="shared" si="103"/>
        <v>0.263618703333988</v>
      </c>
    </row>
    <row r="107" s="3" customFormat="1" spans="1:58">
      <c r="A107" s="8">
        <v>241.5</v>
      </c>
      <c r="B107" s="9">
        <v>0.0968824456378</v>
      </c>
      <c r="C107" s="9">
        <v>0.12621142544</v>
      </c>
      <c r="D107" s="6">
        <v>0.0746985881062</v>
      </c>
      <c r="E107" s="10">
        <v>0.178192559868324</v>
      </c>
      <c r="F107" s="9">
        <v>0.282194812967</v>
      </c>
      <c r="G107" s="1">
        <f t="shared" si="52"/>
        <v>2.23588959544042</v>
      </c>
      <c r="H107" s="1">
        <f t="shared" si="53"/>
        <v>0.155983387527</v>
      </c>
      <c r="I107" s="1">
        <f t="shared" si="54"/>
        <v>0.381931941430223</v>
      </c>
      <c r="J107" s="1">
        <f t="shared" si="55"/>
        <v>-0.576905585111009</v>
      </c>
      <c r="K107" s="1">
        <f t="shared" si="56"/>
        <v>1.23588959544042</v>
      </c>
      <c r="L107" s="1">
        <f t="shared" si="57"/>
        <v>0.687041274291415</v>
      </c>
      <c r="M107" s="1">
        <f t="shared" si="58"/>
        <v>0.257566572529052</v>
      </c>
      <c r="N107" s="1">
        <f t="shared" si="59"/>
        <v>0.234598291449122</v>
      </c>
      <c r="O107" s="1">
        <f t="shared" si="60"/>
        <v>0.31832995013992</v>
      </c>
      <c r="P107" s="1">
        <f t="shared" si="61"/>
        <v>0.244079982852035</v>
      </c>
      <c r="Q107" s="2">
        <f t="shared" si="62"/>
        <v>0.581395521006682</v>
      </c>
      <c r="R107" s="1">
        <f t="shared" si="63"/>
        <v>3.77777974284868</v>
      </c>
      <c r="S107" s="2">
        <f t="shared" si="64"/>
        <v>0.465658142160035</v>
      </c>
      <c r="T107" s="1">
        <f t="shared" si="65"/>
        <v>-0.376146565706145</v>
      </c>
      <c r="U107" s="1">
        <f t="shared" si="66"/>
        <v>0.363224103373171</v>
      </c>
      <c r="V107" s="2">
        <f t="shared" si="67"/>
        <v>0.33853246871083</v>
      </c>
      <c r="W107" s="2">
        <f t="shared" si="68"/>
        <v>0.2074962248608</v>
      </c>
      <c r="X107" s="1">
        <f t="shared" si="69"/>
        <v>0.347328915813044</v>
      </c>
      <c r="Y107" s="2">
        <f t="shared" si="70"/>
        <v>1.03990168814493</v>
      </c>
      <c r="Z107" s="1">
        <f t="shared" si="71"/>
        <v>0.943651137125355</v>
      </c>
      <c r="AA107" s="1">
        <f t="shared" si="72"/>
        <v>2.98355895853505</v>
      </c>
      <c r="AB107" s="1">
        <f t="shared" si="73"/>
        <v>0.1784467005366</v>
      </c>
      <c r="AC107" s="2">
        <f t="shared" si="74"/>
        <v>1.58365092894748</v>
      </c>
      <c r="AD107" s="2">
        <f t="shared" si="75"/>
        <v>0.104002253098676</v>
      </c>
      <c r="AE107" s="1">
        <f t="shared" si="76"/>
        <v>0.225901619451836</v>
      </c>
      <c r="AF107" s="2">
        <f t="shared" si="77"/>
        <v>0.15327843097328</v>
      </c>
      <c r="AG107" s="7">
        <f t="shared" si="78"/>
        <v>0.162437974572125</v>
      </c>
      <c r="AH107" s="1">
        <f t="shared" si="79"/>
        <v>45.9732895967286</v>
      </c>
      <c r="AI107" s="1">
        <f t="shared" si="80"/>
        <v>0.583650928947476</v>
      </c>
      <c r="AJ107" s="1">
        <f t="shared" si="81"/>
        <v>0.36310837231301</v>
      </c>
      <c r="AK107" s="2">
        <f t="shared" si="82"/>
        <v>0.182056927329153</v>
      </c>
      <c r="AL107" s="2">
        <f t="shared" si="83"/>
        <v>0.194463360920931</v>
      </c>
      <c r="AM107" s="1">
        <f t="shared" si="84"/>
        <v>3.77777974284868</v>
      </c>
      <c r="AN107" s="1">
        <f t="shared" si="85"/>
        <v>0.103493971762124</v>
      </c>
      <c r="AO107" s="1">
        <f t="shared" si="86"/>
        <v>0.409243156951266</v>
      </c>
      <c r="AP107" s="1">
        <f t="shared" si="87"/>
        <v>2.3854876562725</v>
      </c>
      <c r="AQ107" s="1">
        <f t="shared" si="88"/>
        <v>0.051981134428324</v>
      </c>
      <c r="AR107" s="1">
        <f t="shared" si="89"/>
        <v>0.170763646131878</v>
      </c>
      <c r="AS107" s="1">
        <f t="shared" si="90"/>
        <v>1.00491121683609</v>
      </c>
      <c r="AT107" s="1">
        <f t="shared" si="91"/>
        <v>0.215158002046847</v>
      </c>
      <c r="AU107" s="2">
        <f t="shared" si="92"/>
        <v>0.303772459800861</v>
      </c>
      <c r="AV107" s="2">
        <f t="shared" si="93"/>
        <v>0.139601098811791</v>
      </c>
      <c r="AW107" s="2">
        <f t="shared" si="94"/>
        <v>0.527382203170603</v>
      </c>
      <c r="AX107" s="2">
        <f t="shared" si="95"/>
        <v>0.0520211186703519</v>
      </c>
      <c r="AY107" s="11">
        <f t="shared" si="96"/>
        <v>1.33024566366007</v>
      </c>
      <c r="AZ107" s="2">
        <f t="shared" si="97"/>
        <v>0.185088416025321</v>
      </c>
      <c r="BA107" s="1">
        <f t="shared" si="98"/>
        <v>1.7138745620046</v>
      </c>
      <c r="BB107" s="2">
        <f t="shared" si="99"/>
        <v>0.115298617420847</v>
      </c>
      <c r="BC107" s="1">
        <f t="shared" si="100"/>
        <v>0.703021259871992</v>
      </c>
      <c r="BD107" s="1">
        <f t="shared" si="101"/>
        <v>0.114845805743688</v>
      </c>
      <c r="BE107" s="2">
        <f t="shared" si="102"/>
        <v>0.0686726747539079</v>
      </c>
      <c r="BF107" s="1">
        <f t="shared" si="103"/>
        <v>0.591470874643008</v>
      </c>
    </row>
    <row r="108" s="3" customFormat="1" spans="1:58">
      <c r="A108" s="8">
        <v>225</v>
      </c>
      <c r="B108" s="9">
        <v>0.104686849083</v>
      </c>
      <c r="C108" s="9">
        <v>0.125273860478</v>
      </c>
      <c r="D108" s="6">
        <v>0.0767093374486</v>
      </c>
      <c r="E108" s="10">
        <v>0.180243524197572</v>
      </c>
      <c r="F108" s="9">
        <v>0.248513840281</v>
      </c>
      <c r="G108" s="1">
        <f t="shared" si="52"/>
        <v>1.98376452464034</v>
      </c>
      <c r="H108" s="1">
        <f t="shared" si="53"/>
        <v>0.123239979803</v>
      </c>
      <c r="I108" s="1">
        <f t="shared" si="54"/>
        <v>0.329705818443874</v>
      </c>
      <c r="J108" s="1">
        <f t="shared" si="55"/>
        <v>-0.6154413669524</v>
      </c>
      <c r="K108" s="1">
        <f t="shared" si="56"/>
        <v>0.983764524640341</v>
      </c>
      <c r="L108" s="1">
        <f t="shared" si="57"/>
        <v>0.56951987476522</v>
      </c>
      <c r="M108" s="1">
        <f t="shared" si="58"/>
        <v>0.211561652268537</v>
      </c>
      <c r="N108" s="1">
        <f t="shared" si="59"/>
        <v>0.18834153689015</v>
      </c>
      <c r="O108" s="1">
        <f t="shared" si="60"/>
        <v>0.267818790819282</v>
      </c>
      <c r="P108" s="1">
        <f t="shared" si="61"/>
        <v>0.201576135507045</v>
      </c>
      <c r="Q108" s="2">
        <f t="shared" si="62"/>
        <v>0.528266478520308</v>
      </c>
      <c r="R108" s="1">
        <f t="shared" si="63"/>
        <v>3.23968174601325</v>
      </c>
      <c r="S108" s="2">
        <f t="shared" si="64"/>
        <v>0.410724863181709</v>
      </c>
      <c r="T108" s="1">
        <f t="shared" si="65"/>
        <v>-0.440131767944406</v>
      </c>
      <c r="U108" s="1">
        <f t="shared" si="66"/>
        <v>0.312287343840265</v>
      </c>
      <c r="V108" s="2">
        <f t="shared" si="67"/>
        <v>0.283042075909185</v>
      </c>
      <c r="W108" s="2">
        <f t="shared" si="68"/>
        <v>0.1718045028324</v>
      </c>
      <c r="X108" s="1">
        <f t="shared" si="69"/>
        <v>0.301261613394744</v>
      </c>
      <c r="Y108" s="2">
        <f t="shared" si="70"/>
        <v>1.01403475212653</v>
      </c>
      <c r="Z108" s="1">
        <f t="shared" si="71"/>
        <v>0.799911593943783</v>
      </c>
      <c r="AA108" s="1">
        <f t="shared" si="72"/>
        <v>2.92296078181165</v>
      </c>
      <c r="AB108" s="1">
        <f t="shared" si="73"/>
        <v>0.1626115888648</v>
      </c>
      <c r="AC108" s="2">
        <f t="shared" si="74"/>
        <v>1.3787670951695</v>
      </c>
      <c r="AD108" s="2">
        <f t="shared" si="75"/>
        <v>0.068270316083428</v>
      </c>
      <c r="AE108" s="1">
        <f t="shared" si="76"/>
        <v>0.159228322915116</v>
      </c>
      <c r="AF108" s="2">
        <f t="shared" si="77"/>
        <v>0.104262015781631</v>
      </c>
      <c r="AG108" s="7">
        <f t="shared" si="78"/>
        <v>0.110260739824803</v>
      </c>
      <c r="AH108" s="1">
        <f t="shared" si="79"/>
        <v>32.1189690543704</v>
      </c>
      <c r="AI108" s="1">
        <f t="shared" si="80"/>
        <v>0.378767095169501</v>
      </c>
      <c r="AJ108" s="1">
        <f t="shared" si="81"/>
        <v>0.245581858734047</v>
      </c>
      <c r="AK108" s="2">
        <f t="shared" si="82"/>
        <v>0.12409427763152</v>
      </c>
      <c r="AL108" s="2">
        <f t="shared" si="83"/>
        <v>0.134509683334345</v>
      </c>
      <c r="AM108" s="1">
        <f t="shared" si="84"/>
        <v>3.23968174601325</v>
      </c>
      <c r="AN108" s="1">
        <f t="shared" si="85"/>
        <v>0.103534186748972</v>
      </c>
      <c r="AO108" s="1">
        <f t="shared" si="86"/>
        <v>0.402930662401184</v>
      </c>
      <c r="AP108" s="1">
        <f t="shared" si="87"/>
        <v>2.34969470722318</v>
      </c>
      <c r="AQ108" s="1">
        <f t="shared" si="88"/>
        <v>0.054969663719572</v>
      </c>
      <c r="AR108" s="1">
        <f t="shared" si="89"/>
        <v>0.179923194151273</v>
      </c>
      <c r="AS108" s="1">
        <f t="shared" si="90"/>
        <v>0.659398776647133</v>
      </c>
      <c r="AT108" s="1">
        <f t="shared" si="91"/>
        <v>0.226113357578031</v>
      </c>
      <c r="AU108" s="2">
        <f t="shared" si="92"/>
        <v>0.325330985111354</v>
      </c>
      <c r="AV108" s="2">
        <f t="shared" si="93"/>
        <v>0.151759427784528</v>
      </c>
      <c r="AW108" s="2">
        <f t="shared" si="94"/>
        <v>0.49165224797895</v>
      </c>
      <c r="AX108" s="2">
        <f t="shared" si="95"/>
        <v>0.013300652363856</v>
      </c>
      <c r="AY108" s="11">
        <f t="shared" si="96"/>
        <v>1.39406467858102</v>
      </c>
      <c r="AZ108" s="2">
        <f t="shared" si="97"/>
        <v>0.122751156876289</v>
      </c>
      <c r="BA108" s="1">
        <f t="shared" si="98"/>
        <v>1.78900552594981</v>
      </c>
      <c r="BB108" s="2">
        <f t="shared" si="99"/>
        <v>0.0601450196003056</v>
      </c>
      <c r="BC108" s="1">
        <f t="shared" si="100"/>
        <v>0.603944962105325</v>
      </c>
      <c r="BD108" s="1">
        <f t="shared" si="101"/>
        <v>0.0626839110659229</v>
      </c>
      <c r="BE108" s="2">
        <f t="shared" si="102"/>
        <v>0.0125565797576039</v>
      </c>
      <c r="BF108" s="1">
        <f t="shared" si="103"/>
        <v>0.482940591302368</v>
      </c>
    </row>
    <row r="109" s="3" customFormat="1" spans="1:58">
      <c r="A109" s="8">
        <v>205</v>
      </c>
      <c r="B109" s="9">
        <v>0.159828276662</v>
      </c>
      <c r="C109" s="9">
        <v>0.19445733163</v>
      </c>
      <c r="D109" s="6">
        <v>0.141218049129</v>
      </c>
      <c r="E109" s="10">
        <v>0.24604241011158</v>
      </c>
      <c r="F109" s="9">
        <v>0.253820655957</v>
      </c>
      <c r="G109" s="1">
        <f t="shared" si="52"/>
        <v>1.30527686371812</v>
      </c>
      <c r="H109" s="1">
        <f t="shared" si="53"/>
        <v>0.059363324327</v>
      </c>
      <c r="I109" s="1">
        <f t="shared" si="54"/>
        <v>0.132425249445198</v>
      </c>
      <c r="J109" s="1">
        <f t="shared" si="55"/>
        <v>-0.729156623821676</v>
      </c>
      <c r="K109" s="1">
        <f t="shared" si="56"/>
        <v>0.305276863718116</v>
      </c>
      <c r="L109" s="1">
        <f t="shared" si="57"/>
        <v>0.201063086686043</v>
      </c>
      <c r="M109" s="1">
        <f t="shared" si="58"/>
        <v>0.0939017752769786</v>
      </c>
      <c r="N109" s="1">
        <f t="shared" si="59"/>
        <v>0.0833589249883773</v>
      </c>
      <c r="O109" s="1">
        <f t="shared" si="60"/>
        <v>0.113207213847223</v>
      </c>
      <c r="P109" s="1">
        <f t="shared" si="61"/>
        <v>0.0886634255592416</v>
      </c>
      <c r="Q109" s="2">
        <f t="shared" si="62"/>
        <v>0.28504196013777</v>
      </c>
      <c r="R109" s="1">
        <f t="shared" si="63"/>
        <v>1.79736696210227</v>
      </c>
      <c r="S109" s="2">
        <f t="shared" si="64"/>
        <v>0.235333180773837</v>
      </c>
      <c r="T109" s="1">
        <f t="shared" si="65"/>
        <v>-0.645164320395091</v>
      </c>
      <c r="U109" s="1">
        <f t="shared" si="66"/>
        <v>0.188711291793544</v>
      </c>
      <c r="V109" s="2">
        <f t="shared" si="67"/>
        <v>0.168124175097296</v>
      </c>
      <c r="W109" s="2">
        <f t="shared" si="68"/>
        <v>0.112602606828</v>
      </c>
      <c r="X109" s="1">
        <f t="shared" si="69"/>
        <v>0.179154870899107</v>
      </c>
      <c r="Y109" s="2">
        <f t="shared" si="70"/>
        <v>0.886025936492702</v>
      </c>
      <c r="Z109" s="1">
        <f t="shared" si="71"/>
        <v>0.340659152097307</v>
      </c>
      <c r="AA109" s="1">
        <f t="shared" si="72"/>
        <v>2.61057006647538</v>
      </c>
      <c r="AB109" s="1">
        <f t="shared" si="73"/>
        <v>0.197519352543</v>
      </c>
      <c r="AC109" s="2">
        <f t="shared" si="74"/>
        <v>1.03161343543128</v>
      </c>
      <c r="AD109" s="2">
        <f t="shared" si="75"/>
        <v>0.00777824584541997</v>
      </c>
      <c r="AE109" s="1">
        <f t="shared" si="76"/>
        <v>0.0155607532810852</v>
      </c>
      <c r="AF109" s="2">
        <f t="shared" si="77"/>
        <v>0.0110016073625724</v>
      </c>
      <c r="AG109" s="7">
        <f t="shared" si="78"/>
        <v>0.0116689666456084</v>
      </c>
      <c r="AH109" s="1">
        <f t="shared" si="79"/>
        <v>3.11240188170205</v>
      </c>
      <c r="AI109" s="1">
        <f t="shared" si="80"/>
        <v>0.0316134354312843</v>
      </c>
      <c r="AJ109" s="1">
        <f t="shared" si="81"/>
        <v>0.0221794695408554</v>
      </c>
      <c r="AK109" s="2">
        <f t="shared" si="82"/>
        <v>0.0130356024849326</v>
      </c>
      <c r="AL109" s="2">
        <f t="shared" si="83"/>
        <v>0.0136736932928285</v>
      </c>
      <c r="AM109" s="1">
        <f t="shared" si="84"/>
        <v>1.79736696210227</v>
      </c>
      <c r="AN109" s="1">
        <f t="shared" si="85"/>
        <v>0.10482436098258</v>
      </c>
      <c r="AO109" s="1">
        <f t="shared" si="86"/>
        <v>0.270681807247095</v>
      </c>
      <c r="AP109" s="1">
        <f t="shared" si="87"/>
        <v>1.74228727580584</v>
      </c>
      <c r="AQ109" s="1">
        <f t="shared" si="88"/>
        <v>0.05158507848158</v>
      </c>
      <c r="AR109" s="1">
        <f t="shared" si="89"/>
        <v>0.117105808683635</v>
      </c>
      <c r="AS109" s="1">
        <f t="shared" si="90"/>
        <v>0.0742026545405088</v>
      </c>
      <c r="AT109" s="1">
        <f t="shared" si="91"/>
        <v>0.280068585446367</v>
      </c>
      <c r="AU109" s="2">
        <f t="shared" si="92"/>
        <v>0.354364369716231</v>
      </c>
      <c r="AV109" s="2">
        <f t="shared" si="93"/>
        <v>0.220281093579674</v>
      </c>
      <c r="AW109" s="2">
        <f t="shared" si="94"/>
        <v>0.395925959975865</v>
      </c>
      <c r="AX109" s="2">
        <f t="shared" si="95"/>
        <v>-0.04380683263616</v>
      </c>
      <c r="AY109" s="11">
        <f t="shared" si="96"/>
        <v>1.89683795684578</v>
      </c>
      <c r="AZ109" s="2">
        <f t="shared" si="97"/>
        <v>0.0152916990471251</v>
      </c>
      <c r="BA109" s="1">
        <f t="shared" si="98"/>
        <v>3.57547201278631</v>
      </c>
      <c r="BB109" s="2">
        <f t="shared" si="99"/>
        <v>-0.00422385767129678</v>
      </c>
      <c r="BC109" s="1">
        <f t="shared" si="100"/>
        <v>0.576644168202396</v>
      </c>
      <c r="BD109" s="1">
        <f t="shared" si="101"/>
        <v>-0.0463626797047508</v>
      </c>
      <c r="BE109" s="2">
        <f t="shared" si="102"/>
        <v>-0.06927204841386</v>
      </c>
      <c r="BF109" s="1">
        <f t="shared" si="103"/>
        <v>0.117505938982767</v>
      </c>
    </row>
    <row r="110" s="3" customFormat="1" spans="1:58">
      <c r="A110" s="8">
        <v>223</v>
      </c>
      <c r="B110" s="9">
        <v>0.0922448249411</v>
      </c>
      <c r="C110" s="9">
        <v>0.130851697366</v>
      </c>
      <c r="D110" s="6">
        <v>0.0724963761395</v>
      </c>
      <c r="E110" s="10">
        <v>0.17594630366229</v>
      </c>
      <c r="F110" s="9">
        <v>0.299006953219</v>
      </c>
      <c r="G110" s="1">
        <f t="shared" si="52"/>
        <v>2.2850827252371</v>
      </c>
      <c r="H110" s="1">
        <f t="shared" si="53"/>
        <v>0.168155255853</v>
      </c>
      <c r="I110" s="1">
        <f t="shared" si="54"/>
        <v>0.391187325471188</v>
      </c>
      <c r="J110" s="1">
        <f t="shared" si="55"/>
        <v>-0.569600077331167</v>
      </c>
      <c r="K110" s="1">
        <f t="shared" si="56"/>
        <v>1.2850827252371</v>
      </c>
      <c r="L110" s="1">
        <f t="shared" si="57"/>
        <v>0.709019093039622</v>
      </c>
      <c r="M110" s="1">
        <f t="shared" si="58"/>
        <v>0.271259382940421</v>
      </c>
      <c r="N110" s="1">
        <f t="shared" si="59"/>
        <v>0.249369254742713</v>
      </c>
      <c r="O110" s="1">
        <f t="shared" si="60"/>
        <v>0.330689558584971</v>
      </c>
      <c r="P110" s="1">
        <f t="shared" si="61"/>
        <v>0.256476519005266</v>
      </c>
      <c r="Q110" s="2">
        <f t="shared" si="62"/>
        <v>0.609713451210871</v>
      </c>
      <c r="R110" s="1">
        <f t="shared" si="63"/>
        <v>4.12443999467836</v>
      </c>
      <c r="S110" s="2">
        <f t="shared" si="64"/>
        <v>0.494356770501043</v>
      </c>
      <c r="T110" s="1">
        <f t="shared" si="65"/>
        <v>-0.337852778970632</v>
      </c>
      <c r="U110" s="1">
        <f t="shared" si="66"/>
        <v>0.389861810246148</v>
      </c>
      <c r="V110" s="2">
        <f t="shared" si="67"/>
        <v>0.368436451287772</v>
      </c>
      <c r="W110" s="2">
        <f t="shared" si="68"/>
        <v>0.2265105770795</v>
      </c>
      <c r="X110" s="1">
        <f t="shared" si="69"/>
        <v>0.371626890424937</v>
      </c>
      <c r="Y110" s="2">
        <f t="shared" si="70"/>
        <v>1.05342937647043</v>
      </c>
      <c r="Z110" s="1">
        <f t="shared" si="71"/>
        <v>1.03087173269962</v>
      </c>
      <c r="AA110" s="1">
        <f t="shared" si="72"/>
        <v>3.023250593387</v>
      </c>
      <c r="AB110" s="1">
        <f t="shared" si="73"/>
        <v>0.18575166467925</v>
      </c>
      <c r="AC110" s="2">
        <f t="shared" si="74"/>
        <v>1.69942162463902</v>
      </c>
      <c r="AD110" s="2">
        <f t="shared" si="75"/>
        <v>0.12306064955671</v>
      </c>
      <c r="AE110" s="1">
        <f t="shared" si="76"/>
        <v>0.259100548893526</v>
      </c>
      <c r="AF110" s="2">
        <f t="shared" si="77"/>
        <v>0.178563943301377</v>
      </c>
      <c r="AG110" s="7">
        <f t="shared" si="78"/>
        <v>0.18933315318679</v>
      </c>
      <c r="AH110" s="1">
        <f t="shared" si="79"/>
        <v>53.028797237337</v>
      </c>
      <c r="AI110" s="1">
        <f t="shared" si="80"/>
        <v>0.699421624639024</v>
      </c>
      <c r="AJ110" s="1">
        <f t="shared" si="81"/>
        <v>0.425700043283969</v>
      </c>
      <c r="AK110" s="2">
        <f t="shared" si="82"/>
        <v>0.211807537753114</v>
      </c>
      <c r="AL110" s="2">
        <f t="shared" si="83"/>
        <v>0.224820255567997</v>
      </c>
      <c r="AM110" s="1">
        <f t="shared" si="84"/>
        <v>4.12443999467836</v>
      </c>
      <c r="AN110" s="1">
        <f t="shared" si="85"/>
        <v>0.10344992752279</v>
      </c>
      <c r="AO110" s="1">
        <f t="shared" si="86"/>
        <v>0.416393542387014</v>
      </c>
      <c r="AP110" s="1">
        <f t="shared" si="87"/>
        <v>2.4269668779544</v>
      </c>
      <c r="AQ110" s="1">
        <f t="shared" si="88"/>
        <v>0.04509460629629</v>
      </c>
      <c r="AR110" s="1">
        <f t="shared" si="89"/>
        <v>0.1469846809469</v>
      </c>
      <c r="AS110" s="1">
        <f t="shared" si="90"/>
        <v>1.1895672863531</v>
      </c>
      <c r="AT110" s="1">
        <f t="shared" si="91"/>
        <v>0.215996413447266</v>
      </c>
      <c r="AU110" s="2">
        <f t="shared" si="92"/>
        <v>0.290433913471214</v>
      </c>
      <c r="AV110" s="2">
        <f t="shared" si="93"/>
        <v>0.132425654830509</v>
      </c>
      <c r="AW110" s="2">
        <f t="shared" si="94"/>
        <v>0.546181667104424</v>
      </c>
      <c r="AX110" s="2">
        <f t="shared" si="95"/>
        <v>0.07796604326042</v>
      </c>
      <c r="AY110" s="11">
        <f t="shared" si="96"/>
        <v>1.347032395333</v>
      </c>
      <c r="AZ110" s="2">
        <f t="shared" si="97"/>
        <v>0.224024092255643</v>
      </c>
      <c r="BA110" s="1">
        <f t="shared" si="98"/>
        <v>1.80428742326383</v>
      </c>
      <c r="BB110" s="2">
        <f t="shared" si="99"/>
        <v>0.151978593380139</v>
      </c>
      <c r="BC110" s="1">
        <f t="shared" si="100"/>
        <v>0.753150896219194</v>
      </c>
      <c r="BD110" s="1">
        <f t="shared" si="101"/>
        <v>0.13821976493111</v>
      </c>
      <c r="BE110" s="2">
        <f t="shared" si="102"/>
        <v>0.10685974953945</v>
      </c>
      <c r="BF110" s="1">
        <f t="shared" si="103"/>
        <v>0.662343925845341</v>
      </c>
    </row>
    <row r="111" s="3" customFormat="1" spans="1:58">
      <c r="A111" s="8">
        <v>202</v>
      </c>
      <c r="B111" s="9">
        <v>0.119434294207</v>
      </c>
      <c r="C111" s="9">
        <v>0.157911220084</v>
      </c>
      <c r="D111" s="6">
        <v>0.101913878165</v>
      </c>
      <c r="E111" s="10">
        <v>0.2059521557283</v>
      </c>
      <c r="F111" s="9">
        <v>0.278845081886</v>
      </c>
      <c r="G111" s="1">
        <f t="shared" si="52"/>
        <v>1.76583450965466</v>
      </c>
      <c r="H111" s="1">
        <f t="shared" si="53"/>
        <v>0.120933861802</v>
      </c>
      <c r="I111" s="1">
        <f t="shared" si="54"/>
        <v>0.276890937249273</v>
      </c>
      <c r="J111" s="1">
        <f t="shared" si="55"/>
        <v>-0.650300987743122</v>
      </c>
      <c r="K111" s="1">
        <f t="shared" si="56"/>
        <v>0.765834509654665</v>
      </c>
      <c r="L111" s="1">
        <f t="shared" si="57"/>
        <v>0.46049173190853</v>
      </c>
      <c r="M111" s="1">
        <f t="shared" si="58"/>
        <v>0.193647795399416</v>
      </c>
      <c r="N111" s="1">
        <f t="shared" si="59"/>
        <v>0.174914673664978</v>
      </c>
      <c r="O111" s="1">
        <f t="shared" si="60"/>
        <v>0.235076327182838</v>
      </c>
      <c r="P111" s="1">
        <f t="shared" si="61"/>
        <v>0.182990410512491</v>
      </c>
      <c r="Q111" s="2">
        <f t="shared" si="62"/>
        <v>0.464680341855386</v>
      </c>
      <c r="R111" s="1">
        <f t="shared" si="63"/>
        <v>2.73608547635236</v>
      </c>
      <c r="S111" s="2">
        <f t="shared" si="64"/>
        <v>0.379540999740445</v>
      </c>
      <c r="T111" s="1">
        <f t="shared" si="65"/>
        <v>-0.505649659951741</v>
      </c>
      <c r="U111" s="1">
        <f t="shared" si="66"/>
        <v>0.301327397868461</v>
      </c>
      <c r="V111" s="2">
        <f t="shared" si="67"/>
        <v>0.276115279570671</v>
      </c>
      <c r="W111" s="2">
        <f t="shared" si="68"/>
        <v>0.176931203721</v>
      </c>
      <c r="X111" s="1">
        <f t="shared" si="69"/>
        <v>0.286734114171926</v>
      </c>
      <c r="Y111" s="2">
        <f t="shared" si="70"/>
        <v>0.982181420031649</v>
      </c>
      <c r="Z111" s="1">
        <f t="shared" si="71"/>
        <v>0.654111687992185</v>
      </c>
      <c r="AA111" s="1">
        <f t="shared" si="72"/>
        <v>2.83149999008761</v>
      </c>
      <c r="AB111" s="1">
        <f t="shared" si="73"/>
        <v>0.1903794800255</v>
      </c>
      <c r="AC111" s="2">
        <f t="shared" si="74"/>
        <v>1.3539313579891</v>
      </c>
      <c r="AD111" s="2">
        <f t="shared" si="75"/>
        <v>0.0728929261577</v>
      </c>
      <c r="AE111" s="1">
        <f t="shared" si="76"/>
        <v>0.15035755260572</v>
      </c>
      <c r="AF111" s="2">
        <f t="shared" si="77"/>
        <v>0.104690028079762</v>
      </c>
      <c r="AG111" s="7">
        <f t="shared" si="78"/>
        <v>0.111027311064994</v>
      </c>
      <c r="AH111" s="1">
        <f t="shared" si="79"/>
        <v>30.3012477480566</v>
      </c>
      <c r="AI111" s="1">
        <f t="shared" si="80"/>
        <v>0.353931357989101</v>
      </c>
      <c r="AJ111" s="1">
        <f t="shared" si="81"/>
        <v>0.23068648156678</v>
      </c>
      <c r="AK111" s="2">
        <f t="shared" si="82"/>
        <v>0.124142238905204</v>
      </c>
      <c r="AL111" s="2">
        <f t="shared" si="83"/>
        <v>0.131135478582045</v>
      </c>
      <c r="AM111" s="1">
        <f t="shared" si="84"/>
        <v>2.73608547635236</v>
      </c>
      <c r="AN111" s="1">
        <f t="shared" si="85"/>
        <v>0.1040382775633</v>
      </c>
      <c r="AO111" s="1">
        <f t="shared" si="86"/>
        <v>0.337933601338293</v>
      </c>
      <c r="AP111" s="1">
        <f t="shared" si="87"/>
        <v>2.02084504521416</v>
      </c>
      <c r="AQ111" s="1">
        <f t="shared" si="88"/>
        <v>0.0480409356443</v>
      </c>
      <c r="AR111" s="1">
        <f t="shared" si="89"/>
        <v>0.132030148780574</v>
      </c>
      <c r="AS111" s="1">
        <f t="shared" si="90"/>
        <v>0.700635649348863</v>
      </c>
      <c r="AT111" s="1">
        <f t="shared" si="91"/>
        <v>0.245696502344966</v>
      </c>
      <c r="AU111" s="2">
        <f t="shared" si="92"/>
        <v>0.320444134912844</v>
      </c>
      <c r="AV111" s="2">
        <f t="shared" si="93"/>
        <v>0.173703677029594</v>
      </c>
      <c r="AW111" s="2">
        <f t="shared" si="94"/>
        <v>0.475268107909671</v>
      </c>
      <c r="AX111" s="2">
        <f t="shared" si="95"/>
        <v>0.0248519905134</v>
      </c>
      <c r="AY111" s="11">
        <f t="shared" si="96"/>
        <v>1.46304104644142</v>
      </c>
      <c r="AZ111" s="2">
        <f t="shared" si="97"/>
        <v>0.136993719706359</v>
      </c>
      <c r="BA111" s="1">
        <f t="shared" si="98"/>
        <v>2.30043398305734</v>
      </c>
      <c r="BB111" s="2">
        <f t="shared" si="99"/>
        <v>0.0659447889532044</v>
      </c>
      <c r="BC111" s="1">
        <f t="shared" si="100"/>
        <v>0.677075837720818</v>
      </c>
      <c r="BD111" s="1">
        <f t="shared" si="101"/>
        <v>0.0749471555183281</v>
      </c>
      <c r="BE111" s="2">
        <f t="shared" si="102"/>
        <v>0.0300219540619799</v>
      </c>
      <c r="BF111" s="1">
        <f t="shared" si="103"/>
        <v>0.543020851817767</v>
      </c>
    </row>
    <row r="112" s="3" customFormat="1" spans="1:58">
      <c r="A112" s="8">
        <v>212</v>
      </c>
      <c r="B112" s="9">
        <v>0.102515619031</v>
      </c>
      <c r="C112" s="9">
        <v>0.143761810216</v>
      </c>
      <c r="D112" s="6">
        <v>0.0826735432106</v>
      </c>
      <c r="E112" s="10">
        <v>0.186327014074812</v>
      </c>
      <c r="F112" s="9">
        <v>0.289512344015</v>
      </c>
      <c r="G112" s="1">
        <f t="shared" si="52"/>
        <v>2.01383346230833</v>
      </c>
      <c r="H112" s="1">
        <f t="shared" si="53"/>
        <v>0.145750533799</v>
      </c>
      <c r="I112" s="1">
        <f t="shared" si="54"/>
        <v>0.336393325970912</v>
      </c>
      <c r="J112" s="1">
        <f t="shared" si="55"/>
        <v>-0.610746883261498</v>
      </c>
      <c r="K112" s="1">
        <f t="shared" si="56"/>
        <v>1.01383346230833</v>
      </c>
      <c r="L112" s="1">
        <f t="shared" si="57"/>
        <v>0.583992132110103</v>
      </c>
      <c r="M112" s="1">
        <f t="shared" si="58"/>
        <v>0.234256782647799</v>
      </c>
      <c r="N112" s="1">
        <f t="shared" si="59"/>
        <v>0.213466622084822</v>
      </c>
      <c r="O112" s="1">
        <f t="shared" si="60"/>
        <v>0.284978905622458</v>
      </c>
      <c r="P112" s="1">
        <f t="shared" si="61"/>
        <v>0.221426075308852</v>
      </c>
      <c r="Q112" s="2">
        <f t="shared" si="62"/>
        <v>0.55574057991894</v>
      </c>
      <c r="R112" s="1">
        <f t="shared" si="63"/>
        <v>3.50187415189773</v>
      </c>
      <c r="S112" s="2">
        <f t="shared" si="64"/>
        <v>0.450844366023922</v>
      </c>
      <c r="T112" s="1">
        <f t="shared" si="65"/>
        <v>-0.408227670487796</v>
      </c>
      <c r="U112" s="1">
        <f t="shared" si="66"/>
        <v>0.355724858371101</v>
      </c>
      <c r="V112" s="2">
        <f t="shared" si="67"/>
        <v>0.331634478483961</v>
      </c>
      <c r="W112" s="2">
        <f t="shared" si="68"/>
        <v>0.2068388008044</v>
      </c>
      <c r="X112" s="1">
        <f t="shared" si="69"/>
        <v>0.339040875277267</v>
      </c>
      <c r="Y112" s="2">
        <f t="shared" si="70"/>
        <v>1.02749237462812</v>
      </c>
      <c r="Z112" s="1">
        <f t="shared" si="71"/>
        <v>0.871329514515743</v>
      </c>
      <c r="AA112" s="1">
        <f t="shared" si="72"/>
        <v>2.95027835748435</v>
      </c>
      <c r="AB112" s="1">
        <f t="shared" si="73"/>
        <v>0.1860929436128</v>
      </c>
      <c r="AC112" s="2">
        <f t="shared" si="74"/>
        <v>1.55378620460669</v>
      </c>
      <c r="AD112" s="2">
        <f t="shared" si="75"/>
        <v>0.103185329940188</v>
      </c>
      <c r="AE112" s="1">
        <f t="shared" si="76"/>
        <v>0.216849086116816</v>
      </c>
      <c r="AF112" s="2">
        <f t="shared" si="77"/>
        <v>0.149584907320865</v>
      </c>
      <c r="AG112" s="7">
        <f t="shared" si="78"/>
        <v>0.158610117154177</v>
      </c>
      <c r="AH112" s="1">
        <f t="shared" si="79"/>
        <v>44.0694665007637</v>
      </c>
      <c r="AI112" s="1">
        <f t="shared" si="80"/>
        <v>0.553786204606693</v>
      </c>
      <c r="AJ112" s="1">
        <f t="shared" si="81"/>
        <v>0.346537202004433</v>
      </c>
      <c r="AK112" s="2">
        <f t="shared" si="82"/>
        <v>0.177459870856919</v>
      </c>
      <c r="AL112" s="2">
        <f t="shared" si="83"/>
        <v>0.18824720616573</v>
      </c>
      <c r="AM112" s="1">
        <f t="shared" si="84"/>
        <v>3.50187415189773</v>
      </c>
      <c r="AN112" s="1">
        <f t="shared" si="85"/>
        <v>0.103653470864212</v>
      </c>
      <c r="AO112" s="1">
        <f t="shared" si="86"/>
        <v>0.385328089689549</v>
      </c>
      <c r="AP112" s="1">
        <f t="shared" si="87"/>
        <v>2.25376833795751</v>
      </c>
      <c r="AQ112" s="1">
        <f t="shared" si="88"/>
        <v>0.042565203858812</v>
      </c>
      <c r="AR112" s="1">
        <f t="shared" si="89"/>
        <v>0.128950757270448</v>
      </c>
      <c r="AS112" s="1">
        <f t="shared" si="90"/>
        <v>0.995483596254704</v>
      </c>
      <c r="AT112" s="1">
        <f t="shared" si="91"/>
        <v>0.232023142579106</v>
      </c>
      <c r="AU112" s="2">
        <f t="shared" si="92"/>
        <v>0.300720888865155</v>
      </c>
      <c r="AV112" s="2">
        <f t="shared" si="93"/>
        <v>0.148024410927854</v>
      </c>
      <c r="AW112" s="2">
        <f t="shared" si="94"/>
        <v>0.518362858478138</v>
      </c>
      <c r="AX112" s="2">
        <f t="shared" si="95"/>
        <v>0.060620126081376</v>
      </c>
      <c r="AY112" s="11">
        <f t="shared" si="96"/>
        <v>1.41912894185105</v>
      </c>
      <c r="AZ112" s="2">
        <f t="shared" si="97"/>
        <v>0.194065238957905</v>
      </c>
      <c r="BA112" s="1">
        <f t="shared" si="98"/>
        <v>2.07475463937137</v>
      </c>
      <c r="BB112" s="2">
        <f t="shared" si="99"/>
        <v>0.115034908432664</v>
      </c>
      <c r="BC112" s="1">
        <f t="shared" si="100"/>
        <v>0.719854015784558</v>
      </c>
      <c r="BD112" s="1">
        <f t="shared" si="101"/>
        <v>0.116726024660203</v>
      </c>
      <c r="BE112" s="2">
        <f t="shared" si="102"/>
        <v>0.082185157094124</v>
      </c>
      <c r="BF112" s="1">
        <f t="shared" si="103"/>
        <v>0.644629573107425</v>
      </c>
    </row>
    <row r="113" s="3" customFormat="1" spans="1:58">
      <c r="A113" s="8">
        <v>182.5</v>
      </c>
      <c r="B113" s="9">
        <v>0.129878694723</v>
      </c>
      <c r="C113" s="9">
        <v>0.164160802647</v>
      </c>
      <c r="D113" s="6">
        <v>0.110919671939</v>
      </c>
      <c r="E113" s="10">
        <v>0.21513806537778</v>
      </c>
      <c r="F113" s="9">
        <v>0.233782596957</v>
      </c>
      <c r="G113" s="1">
        <f t="shared" si="52"/>
        <v>1.42410729715857</v>
      </c>
      <c r="H113" s="1">
        <f t="shared" si="53"/>
        <v>0.06962179431</v>
      </c>
      <c r="I113" s="1">
        <f t="shared" si="54"/>
        <v>0.174954012000907</v>
      </c>
      <c r="J113" s="1">
        <f t="shared" si="55"/>
        <v>-0.708098188636015</v>
      </c>
      <c r="K113" s="1">
        <f t="shared" si="56"/>
        <v>0.424107297158566</v>
      </c>
      <c r="L113" s="1">
        <f t="shared" si="57"/>
        <v>0.272395435271504</v>
      </c>
      <c r="M113" s="1">
        <f t="shared" si="58"/>
        <v>0.116302087092634</v>
      </c>
      <c r="N113" s="1">
        <f t="shared" si="59"/>
        <v>0.101965130455037</v>
      </c>
      <c r="O113" s="1">
        <f t="shared" si="60"/>
        <v>0.144748161653889</v>
      </c>
      <c r="P113" s="1">
        <f t="shared" si="61"/>
        <v>0.110365810997955</v>
      </c>
      <c r="Q113" s="2">
        <f t="shared" si="62"/>
        <v>0.356432017147729</v>
      </c>
      <c r="R113" s="1">
        <f t="shared" si="63"/>
        <v>2.10767479627571</v>
      </c>
      <c r="S113" s="2">
        <f t="shared" si="64"/>
        <v>0.28238627365919</v>
      </c>
      <c r="T113" s="1">
        <f t="shared" si="65"/>
        <v>-0.596269867792043</v>
      </c>
      <c r="U113" s="1">
        <f t="shared" si="66"/>
        <v>0.218176740270708</v>
      </c>
      <c r="V113" s="2">
        <f t="shared" si="67"/>
        <v>0.192754825432322</v>
      </c>
      <c r="W113" s="2">
        <f t="shared" si="68"/>
        <v>0.122862925018</v>
      </c>
      <c r="X113" s="1">
        <f t="shared" si="69"/>
        <v>0.209266051228659</v>
      </c>
      <c r="Y113" s="2">
        <f t="shared" si="70"/>
        <v>0.925436122672834</v>
      </c>
      <c r="Z113" s="1">
        <f t="shared" si="71"/>
        <v>0.451783315882817</v>
      </c>
      <c r="AA113" s="1">
        <f t="shared" si="72"/>
        <v>2.72632395569511</v>
      </c>
      <c r="AB113" s="1">
        <f t="shared" si="73"/>
        <v>0.172351134448</v>
      </c>
      <c r="AC113" s="2">
        <f t="shared" si="74"/>
        <v>1.08666309956111</v>
      </c>
      <c r="AD113" s="2">
        <f t="shared" si="75"/>
        <v>0.01864453157922</v>
      </c>
      <c r="AE113" s="1">
        <f t="shared" si="76"/>
        <v>0.0415319078481532</v>
      </c>
      <c r="AF113" s="2">
        <f t="shared" si="77"/>
        <v>0.0278270186584935</v>
      </c>
      <c r="AG113" s="7">
        <f t="shared" si="78"/>
        <v>0.0294722187838326</v>
      </c>
      <c r="AH113" s="1">
        <f t="shared" si="79"/>
        <v>8.31116240926468</v>
      </c>
      <c r="AI113" s="1">
        <f t="shared" si="80"/>
        <v>0.086663099561114</v>
      </c>
      <c r="AJ113" s="1">
        <f t="shared" si="81"/>
        <v>0.0599940319099118</v>
      </c>
      <c r="AK113" s="2">
        <f t="shared" si="82"/>
        <v>0.0331084672062995</v>
      </c>
      <c r="AL113" s="2">
        <f t="shared" si="83"/>
        <v>0.0355180206054569</v>
      </c>
      <c r="AM113" s="1">
        <f t="shared" si="84"/>
        <v>2.10767479627571</v>
      </c>
      <c r="AN113" s="1">
        <f t="shared" si="85"/>
        <v>0.10421839343878</v>
      </c>
      <c r="AO113" s="1">
        <f t="shared" si="86"/>
        <v>0.319631713991584</v>
      </c>
      <c r="AP113" s="1">
        <f t="shared" si="87"/>
        <v>1.93958440028649</v>
      </c>
      <c r="AQ113" s="1">
        <f t="shared" si="88"/>
        <v>0.05097726273078</v>
      </c>
      <c r="AR113" s="1">
        <f t="shared" si="89"/>
        <v>0.134398668248727</v>
      </c>
      <c r="AS113" s="1">
        <f t="shared" si="90"/>
        <v>0.17889866619535</v>
      </c>
      <c r="AT113" s="1">
        <f t="shared" si="91"/>
        <v>0.267763440951324</v>
      </c>
      <c r="AU113" s="2">
        <f t="shared" si="92"/>
        <v>0.350912688877609</v>
      </c>
      <c r="AV113" s="2">
        <f t="shared" si="93"/>
        <v>0.198127332291776</v>
      </c>
      <c r="AW113" s="2">
        <f t="shared" si="94"/>
        <v>0.417587984724718</v>
      </c>
      <c r="AX113" s="2">
        <f t="shared" si="95"/>
        <v>-0.03233273115156</v>
      </c>
      <c r="AY113" s="11">
        <f t="shared" si="96"/>
        <v>1.76471931290563</v>
      </c>
      <c r="AZ113" s="2">
        <f t="shared" si="97"/>
        <v>0.0360376912504914</v>
      </c>
      <c r="BA113" s="1">
        <f t="shared" si="98"/>
        <v>2.87702197170493</v>
      </c>
      <c r="BB113" s="2">
        <f t="shared" si="99"/>
        <v>0.00512923751535806</v>
      </c>
      <c r="BC113" s="1">
        <f t="shared" si="100"/>
        <v>0.538859050448615</v>
      </c>
      <c r="BD113" s="1">
        <f t="shared" si="101"/>
        <v>-0.0241727694150628</v>
      </c>
      <c r="BE113" s="2">
        <f t="shared" si="102"/>
        <v>-0.0526764043859401</v>
      </c>
      <c r="BF113" s="1">
        <f t="shared" si="103"/>
        <v>0.237387570443014</v>
      </c>
    </row>
    <row r="114" s="3" customFormat="1" spans="1:58">
      <c r="A114" s="8">
        <v>174.5</v>
      </c>
      <c r="B114" s="9">
        <v>0.129463713379</v>
      </c>
      <c r="C114" s="9">
        <v>0.166373997482</v>
      </c>
      <c r="D114" s="6">
        <v>0.115451742639</v>
      </c>
      <c r="E114" s="10">
        <v>0.21976077749178</v>
      </c>
      <c r="F114" s="9">
        <v>0.232872668721</v>
      </c>
      <c r="G114" s="1">
        <f t="shared" si="52"/>
        <v>1.39969389595387</v>
      </c>
      <c r="H114" s="1">
        <f t="shared" si="53"/>
        <v>0.066498671239</v>
      </c>
      <c r="I114" s="1">
        <f t="shared" si="54"/>
        <v>0.16656036698172</v>
      </c>
      <c r="J114" s="1">
        <f t="shared" si="55"/>
        <v>-0.712382619922789</v>
      </c>
      <c r="K114" s="1">
        <f t="shared" si="56"/>
        <v>0.39969389595387</v>
      </c>
      <c r="L114" s="1">
        <f t="shared" si="57"/>
        <v>0.258017755184464</v>
      </c>
      <c r="M114" s="1">
        <f t="shared" si="58"/>
        <v>0.110923966256865</v>
      </c>
      <c r="N114" s="1">
        <f t="shared" si="59"/>
        <v>0.0971801281951254</v>
      </c>
      <c r="O114" s="1">
        <f t="shared" si="60"/>
        <v>0.137932800138034</v>
      </c>
      <c r="P114" s="1">
        <f t="shared" si="61"/>
        <v>0.105242781630688</v>
      </c>
      <c r="Q114" s="2">
        <f t="shared" si="62"/>
        <v>0.337102202006288</v>
      </c>
      <c r="R114" s="1">
        <f t="shared" si="63"/>
        <v>2.01705633365065</v>
      </c>
      <c r="S114" s="2">
        <f t="shared" si="64"/>
        <v>0.267955406451366</v>
      </c>
      <c r="T114" s="1">
        <f t="shared" si="65"/>
        <v>-0.610245334031293</v>
      </c>
      <c r="U114" s="1">
        <f t="shared" si="66"/>
        <v>0.207622681564277</v>
      </c>
      <c r="V114" s="2">
        <f t="shared" si="67"/>
        <v>0.183090442385662</v>
      </c>
      <c r="W114" s="2">
        <f t="shared" si="68"/>
        <v>0.117420926082</v>
      </c>
      <c r="X114" s="1">
        <f t="shared" si="69"/>
        <v>0.198954398654214</v>
      </c>
      <c r="Y114" s="2">
        <f t="shared" si="70"/>
        <v>0.914932894810482</v>
      </c>
      <c r="Z114" s="1">
        <f t="shared" si="71"/>
        <v>0.420231084595268</v>
      </c>
      <c r="AA114" s="1">
        <f t="shared" si="72"/>
        <v>2.70338372047413</v>
      </c>
      <c r="AB114" s="1">
        <f t="shared" si="73"/>
        <v>0.17416220568</v>
      </c>
      <c r="AC114" s="2">
        <f t="shared" si="74"/>
        <v>1.05966438314822</v>
      </c>
      <c r="AD114" s="2">
        <f t="shared" si="75"/>
        <v>0.01311189122922</v>
      </c>
      <c r="AE114" s="1">
        <f t="shared" si="76"/>
        <v>0.0289680122821859</v>
      </c>
      <c r="AF114" s="2">
        <f t="shared" si="77"/>
        <v>0.019489110450986</v>
      </c>
      <c r="AG114" s="7">
        <f t="shared" si="78"/>
        <v>0.0206457551139108</v>
      </c>
      <c r="AH114" s="1">
        <f t="shared" si="79"/>
        <v>5.7952238317893</v>
      </c>
      <c r="AI114" s="1">
        <f t="shared" si="80"/>
        <v>0.0596643831482184</v>
      </c>
      <c r="AJ114" s="1">
        <f t="shared" si="81"/>
        <v>0.041573532251261</v>
      </c>
      <c r="AK114" s="2">
        <f t="shared" si="82"/>
        <v>0.0231843344131748</v>
      </c>
      <c r="AL114" s="2">
        <f t="shared" si="83"/>
        <v>0.0248269073781722</v>
      </c>
      <c r="AM114" s="1">
        <f t="shared" si="84"/>
        <v>2.01705633365065</v>
      </c>
      <c r="AN114" s="1">
        <f t="shared" si="85"/>
        <v>0.10430903485278</v>
      </c>
      <c r="AO114" s="1">
        <f t="shared" si="86"/>
        <v>0.311172848830601</v>
      </c>
      <c r="AP114" s="1">
        <f t="shared" si="87"/>
        <v>1.90348601474937</v>
      </c>
      <c r="AQ114" s="1">
        <f t="shared" si="88"/>
        <v>0.05338678000978</v>
      </c>
      <c r="AR114" s="1">
        <f t="shared" si="89"/>
        <v>0.138259445846091</v>
      </c>
      <c r="AS114" s="1">
        <f t="shared" si="90"/>
        <v>0.125702354045609</v>
      </c>
      <c r="AT114" s="1">
        <f t="shared" si="91"/>
        <v>0.268775439094777</v>
      </c>
      <c r="AU114" s="2">
        <f t="shared" si="92"/>
        <v>0.355021219421942</v>
      </c>
      <c r="AV114" s="2">
        <f t="shared" si="93"/>
        <v>0.203229629824274</v>
      </c>
      <c r="AW114" s="2">
        <f t="shared" si="94"/>
        <v>0.409925612022529</v>
      </c>
      <c r="AX114" s="2">
        <f t="shared" si="95"/>
        <v>-0.0402748887805601</v>
      </c>
      <c r="AY114" s="11">
        <f t="shared" si="96"/>
        <v>1.76576349413032</v>
      </c>
      <c r="AZ114" s="2">
        <f t="shared" si="97"/>
        <v>0.0251449175902718</v>
      </c>
      <c r="BA114" s="1">
        <f t="shared" si="98"/>
        <v>2.8849195844082</v>
      </c>
      <c r="BB114" s="2">
        <f t="shared" si="99"/>
        <v>-0.000199050556412314</v>
      </c>
      <c r="BC114" s="1">
        <f t="shared" si="100"/>
        <v>0.53305023336328</v>
      </c>
      <c r="BD114" s="1">
        <f t="shared" si="101"/>
        <v>-0.0353203902355652</v>
      </c>
      <c r="BE114" s="2">
        <f t="shared" si="102"/>
        <v>-0.0644022534451801</v>
      </c>
      <c r="BF114" s="1">
        <f t="shared" si="103"/>
        <v>0.173918998901853</v>
      </c>
    </row>
    <row r="115" s="3" customFormat="1" spans="1:58">
      <c r="A115" s="8">
        <v>180.5</v>
      </c>
      <c r="B115" s="9">
        <v>0.140727271546</v>
      </c>
      <c r="C115" s="9">
        <v>0.178102871924</v>
      </c>
      <c r="D115" s="6">
        <v>0.125642280506</v>
      </c>
      <c r="E115" s="10">
        <v>0.23015512611612</v>
      </c>
      <c r="F115" s="9">
        <v>0.232695221624</v>
      </c>
      <c r="G115" s="1">
        <f t="shared" si="52"/>
        <v>1.30652144522013</v>
      </c>
      <c r="H115" s="1">
        <f t="shared" si="53"/>
        <v>0.0545923497</v>
      </c>
      <c r="I115" s="1">
        <f t="shared" si="54"/>
        <v>0.132893386209498</v>
      </c>
      <c r="J115" s="1">
        <f t="shared" si="55"/>
        <v>-0.728933376024118</v>
      </c>
      <c r="K115" s="1">
        <f t="shared" si="56"/>
        <v>0.306521445220129</v>
      </c>
      <c r="L115" s="1">
        <f t="shared" si="57"/>
        <v>0.201828325071414</v>
      </c>
      <c r="M115" s="1">
        <f t="shared" si="58"/>
        <v>0.0899085375014395</v>
      </c>
      <c r="N115" s="1">
        <f t="shared" si="59"/>
        <v>0.0787398803424699</v>
      </c>
      <c r="O115" s="1">
        <f t="shared" si="60"/>
        <v>0.110944879402746</v>
      </c>
      <c r="P115" s="1">
        <f t="shared" si="61"/>
        <v>0.0851760659620183</v>
      </c>
      <c r="Q115" s="2">
        <f t="shared" si="62"/>
        <v>0.298748918217225</v>
      </c>
      <c r="R115" s="1">
        <f t="shared" si="63"/>
        <v>1.85204551116762</v>
      </c>
      <c r="S115" s="2">
        <f t="shared" si="64"/>
        <v>0.239576359392447</v>
      </c>
      <c r="T115" s="1">
        <f t="shared" si="65"/>
        <v>-0.636332523425473</v>
      </c>
      <c r="U115" s="1">
        <f t="shared" si="66"/>
        <v>0.187081901091955</v>
      </c>
      <c r="V115" s="2">
        <f t="shared" si="67"/>
        <v>0.164596281689553</v>
      </c>
      <c r="W115" s="2">
        <f t="shared" si="68"/>
        <v>0.107052941118</v>
      </c>
      <c r="X115" s="1">
        <f t="shared" si="69"/>
        <v>0.178834980781095</v>
      </c>
      <c r="Y115" s="2">
        <f t="shared" si="70"/>
        <v>0.89372754137781</v>
      </c>
      <c r="Z115" s="1">
        <f t="shared" si="71"/>
        <v>0.360898787995499</v>
      </c>
      <c r="AA115" s="1">
        <f t="shared" si="72"/>
        <v>2.65531789047538</v>
      </c>
      <c r="AB115" s="1">
        <f t="shared" si="73"/>
        <v>0.179168751065</v>
      </c>
      <c r="AC115" s="2">
        <f t="shared" si="74"/>
        <v>1.01103644985338</v>
      </c>
      <c r="AD115" s="2">
        <f t="shared" si="75"/>
        <v>0.00254009550788001</v>
      </c>
      <c r="AE115" s="1">
        <f t="shared" si="76"/>
        <v>0.00548794123258651</v>
      </c>
      <c r="AF115" s="2">
        <f t="shared" si="77"/>
        <v>0.00373361686202568</v>
      </c>
      <c r="AG115" s="7">
        <f t="shared" si="78"/>
        <v>0.0039571500085789</v>
      </c>
      <c r="AH115" s="1">
        <f t="shared" si="79"/>
        <v>1.09759926558737</v>
      </c>
      <c r="AI115" s="1">
        <f t="shared" si="80"/>
        <v>0.0110364498533848</v>
      </c>
      <c r="AJ115" s="1">
        <f t="shared" si="81"/>
        <v>0.00778250526577168</v>
      </c>
      <c r="AK115" s="2">
        <f t="shared" si="82"/>
        <v>0.00443898029896746</v>
      </c>
      <c r="AL115" s="2">
        <f t="shared" si="83"/>
        <v>0.0047306881979461</v>
      </c>
      <c r="AM115" s="1">
        <f t="shared" si="84"/>
        <v>1.85204551116762</v>
      </c>
      <c r="AN115" s="1">
        <f t="shared" si="85"/>
        <v>0.10451284561012</v>
      </c>
      <c r="AO115" s="1">
        <f t="shared" si="86"/>
        <v>0.293742572781368</v>
      </c>
      <c r="AP115" s="1">
        <f t="shared" si="87"/>
        <v>1.83182862639244</v>
      </c>
      <c r="AQ115" s="1">
        <f t="shared" si="88"/>
        <v>0.05205225419212</v>
      </c>
      <c r="AR115" s="1">
        <f t="shared" si="89"/>
        <v>0.12749843099707</v>
      </c>
      <c r="AS115" s="1">
        <f t="shared" si="90"/>
        <v>0.0243041464716759</v>
      </c>
      <c r="AT115" s="1">
        <f t="shared" si="91"/>
        <v>0.277871873422107</v>
      </c>
      <c r="AU115" s="2">
        <f t="shared" si="92"/>
        <v>0.359082564928418</v>
      </c>
      <c r="AV115" s="2">
        <f t="shared" si="93"/>
        <v>0.213498478104052</v>
      </c>
      <c r="AW115" s="2">
        <f t="shared" si="94"/>
        <v>0.395408898013727</v>
      </c>
      <c r="AX115" s="2">
        <f t="shared" si="95"/>
        <v>-0.04951215868424</v>
      </c>
      <c r="AY115" s="11">
        <f t="shared" si="96"/>
        <v>1.9609513367035</v>
      </c>
      <c r="AZ115" s="2">
        <f t="shared" si="97"/>
        <v>0.0049694539349979</v>
      </c>
      <c r="BA115" s="1">
        <f t="shared" si="98"/>
        <v>3.36393803589708</v>
      </c>
      <c r="BB115" s="2">
        <f t="shared" si="99"/>
        <v>-0.00847084194139296</v>
      </c>
      <c r="BC115" s="1">
        <f t="shared" si="100"/>
        <v>0.525345883352597</v>
      </c>
      <c r="BD115" s="1">
        <f t="shared" si="101"/>
        <v>-0.0573203687969437</v>
      </c>
      <c r="BE115" s="2">
        <f t="shared" si="102"/>
        <v>-0.07754377900836</v>
      </c>
      <c r="BF115" s="1">
        <f t="shared" si="103"/>
        <v>0.0412958190705977</v>
      </c>
    </row>
    <row r="116" s="3" customFormat="1" spans="1:58">
      <c r="A116" s="8">
        <v>172</v>
      </c>
      <c r="B116" s="9">
        <v>0.156004749549</v>
      </c>
      <c r="C116" s="9">
        <v>0.1910495804</v>
      </c>
      <c r="D116" s="6">
        <v>0.143557953607</v>
      </c>
      <c r="E116" s="10">
        <v>0.24842911267914</v>
      </c>
      <c r="F116" s="9">
        <v>0.232300869168</v>
      </c>
      <c r="G116" s="1">
        <f t="shared" si="52"/>
        <v>1.21591928483503</v>
      </c>
      <c r="H116" s="1">
        <f t="shared" si="53"/>
        <v>0.041251288768</v>
      </c>
      <c r="I116" s="1">
        <f t="shared" si="54"/>
        <v>0.0974400495147557</v>
      </c>
      <c r="J116" s="1">
        <f t="shared" si="55"/>
        <v>-0.745337287962908</v>
      </c>
      <c r="K116" s="1">
        <f t="shared" si="56"/>
        <v>0.215919284835027</v>
      </c>
      <c r="L116" s="1">
        <f t="shared" si="57"/>
        <v>0.145048908322385</v>
      </c>
      <c r="M116" s="1">
        <f t="shared" si="58"/>
        <v>0.067013486787113</v>
      </c>
      <c r="N116" s="1">
        <f t="shared" si="59"/>
        <v>0.0586822935272979</v>
      </c>
      <c r="O116" s="1">
        <f t="shared" si="60"/>
        <v>0.0820287273393145</v>
      </c>
      <c r="P116" s="1">
        <f t="shared" si="61"/>
        <v>0.0633997446375094</v>
      </c>
      <c r="Q116" s="2">
        <f t="shared" si="62"/>
        <v>0.236107043878345</v>
      </c>
      <c r="R116" s="1">
        <f t="shared" si="63"/>
        <v>1.61816787806784</v>
      </c>
      <c r="S116" s="2">
        <f t="shared" si="64"/>
        <v>0.192106162435967</v>
      </c>
      <c r="T116" s="1">
        <f t="shared" si="65"/>
        <v>-0.674789191360607</v>
      </c>
      <c r="U116" s="1">
        <f t="shared" si="66"/>
        <v>0.151981540723368</v>
      </c>
      <c r="V116" s="2">
        <f t="shared" si="67"/>
        <v>0.133319457217505</v>
      </c>
      <c r="W116" s="2">
        <f t="shared" si="68"/>
        <v>0.088742915561</v>
      </c>
      <c r="X116" s="1">
        <f t="shared" si="69"/>
        <v>0.144750915224234</v>
      </c>
      <c r="Y116" s="2">
        <f t="shared" si="70"/>
        <v>0.857966808144898</v>
      </c>
      <c r="Z116" s="1">
        <f t="shared" si="71"/>
        <v>0.272072277061267</v>
      </c>
      <c r="AA116" s="1">
        <f t="shared" si="72"/>
        <v>2.5747230691569</v>
      </c>
      <c r="AB116" s="1">
        <f t="shared" si="73"/>
        <v>0.1879294113875</v>
      </c>
      <c r="AC116" s="2">
        <f t="shared" si="74"/>
        <v>0.935079092231954</v>
      </c>
      <c r="AD116" s="2">
        <f t="shared" si="75"/>
        <v>-0.01612824351114</v>
      </c>
      <c r="AE116" s="1">
        <f t="shared" si="76"/>
        <v>-0.0335494854079403</v>
      </c>
      <c r="AF116" s="2">
        <f t="shared" si="77"/>
        <v>-0.0232614331100364</v>
      </c>
      <c r="AG116" s="7">
        <f t="shared" si="78"/>
        <v>-0.02466771253505</v>
      </c>
      <c r="AH116" s="1">
        <f t="shared" si="79"/>
        <v>-6.71241626486248</v>
      </c>
      <c r="AI116" s="1">
        <f t="shared" si="80"/>
        <v>-0.0649209077680462</v>
      </c>
      <c r="AJ116" s="1">
        <f t="shared" si="81"/>
        <v>-0.0466697230314719</v>
      </c>
      <c r="AK116" s="2">
        <f t="shared" si="82"/>
        <v>-0.0276213068106808</v>
      </c>
      <c r="AL116" s="2">
        <f t="shared" si="83"/>
        <v>-0.0291991369265841</v>
      </c>
      <c r="AM116" s="1">
        <f t="shared" si="84"/>
        <v>1.61816787806784</v>
      </c>
      <c r="AN116" s="1">
        <f t="shared" si="85"/>
        <v>0.10487115907214</v>
      </c>
      <c r="AO116" s="1">
        <f t="shared" si="86"/>
        <v>0.267537294191199</v>
      </c>
      <c r="AP116" s="1">
        <f t="shared" si="87"/>
        <v>1.73051444686396</v>
      </c>
      <c r="AQ116" s="1">
        <f t="shared" si="88"/>
        <v>0.05737953227914</v>
      </c>
      <c r="AR116" s="1">
        <f t="shared" si="89"/>
        <v>0.130562717107214</v>
      </c>
      <c r="AS116" s="1">
        <f t="shared" si="90"/>
        <v>-0.153791029429221</v>
      </c>
      <c r="AT116" s="1">
        <f t="shared" si="91"/>
        <v>0.284393261028854</v>
      </c>
      <c r="AU116" s="2">
        <f t="shared" si="92"/>
        <v>0.369807488409041</v>
      </c>
      <c r="AV116" s="2">
        <f t="shared" si="93"/>
        <v>0.229954713929508</v>
      </c>
      <c r="AW116" s="2">
        <f t="shared" si="94"/>
        <v>0.372105331491008</v>
      </c>
      <c r="AX116" s="2">
        <f t="shared" si="95"/>
        <v>-0.07350777579028</v>
      </c>
      <c r="AY116" s="11">
        <f t="shared" si="96"/>
        <v>2.15127619551709</v>
      </c>
      <c r="AZ116" s="2">
        <f t="shared" si="97"/>
        <v>-0.0312561964126997</v>
      </c>
      <c r="BA116" s="1">
        <f t="shared" si="98"/>
        <v>3.71051273226192</v>
      </c>
      <c r="BB116" s="2">
        <f t="shared" si="99"/>
        <v>-0.0227958268326086</v>
      </c>
      <c r="BC116" s="1">
        <f t="shared" si="100"/>
        <v>0.511143227403346</v>
      </c>
      <c r="BD116" s="1">
        <f t="shared" si="101"/>
        <v>-0.0981737174882981</v>
      </c>
      <c r="BE116" s="2">
        <f t="shared" si="102"/>
        <v>-0.1127367410115</v>
      </c>
      <c r="BF116" s="1">
        <f t="shared" si="103"/>
        <v>-0.344308993837896</v>
      </c>
    </row>
    <row r="117" s="3" customFormat="1" spans="1:58">
      <c r="A117" s="8">
        <v>172</v>
      </c>
      <c r="B117" s="9">
        <v>0.192812057294</v>
      </c>
      <c r="C117" s="9">
        <v>0.231108624768</v>
      </c>
      <c r="D117" s="6">
        <v>0.18470909132</v>
      </c>
      <c r="E117" s="10">
        <v>0.2904032731464</v>
      </c>
      <c r="F117" s="9">
        <v>0.230976042311</v>
      </c>
      <c r="G117" s="1">
        <f t="shared" si="52"/>
        <v>0.999426319735436</v>
      </c>
      <c r="H117" s="1">
        <f t="shared" si="53"/>
        <v>-0.000132582457000013</v>
      </c>
      <c r="I117" s="1">
        <f t="shared" si="54"/>
        <v>-0.000286922433150863</v>
      </c>
      <c r="J117" s="1">
        <f t="shared" si="55"/>
        <v>-0.785824052715896</v>
      </c>
      <c r="K117" s="1">
        <f t="shared" si="56"/>
        <v>-0.000573680264564391</v>
      </c>
      <c r="L117" s="1">
        <f t="shared" si="57"/>
        <v>-0.000405711396634915</v>
      </c>
      <c r="M117" s="1">
        <f t="shared" si="58"/>
        <v>-0.000206711209839591</v>
      </c>
      <c r="N117" s="1">
        <f t="shared" si="59"/>
        <v>-0.000181354797620492</v>
      </c>
      <c r="O117" s="1">
        <f t="shared" si="60"/>
        <v>-0.000247226235043155</v>
      </c>
      <c r="P117" s="1">
        <f t="shared" si="61"/>
        <v>-0.000195040716660813</v>
      </c>
      <c r="Q117" s="2">
        <f t="shared" si="62"/>
        <v>0.11130287625843</v>
      </c>
      <c r="R117" s="1">
        <f t="shared" si="63"/>
        <v>1.25048551027109</v>
      </c>
      <c r="S117" s="2">
        <f t="shared" si="64"/>
        <v>0.0932274606624824</v>
      </c>
      <c r="T117" s="1">
        <f t="shared" si="65"/>
        <v>-0.739042331522036</v>
      </c>
      <c r="U117" s="1">
        <f t="shared" si="66"/>
        <v>0.0757907100788062</v>
      </c>
      <c r="V117" s="2">
        <f t="shared" si="67"/>
        <v>0.0663016314520797</v>
      </c>
      <c r="W117" s="2">
        <f t="shared" si="68"/>
        <v>0.046266950991</v>
      </c>
      <c r="X117" s="1">
        <f t="shared" si="69"/>
        <v>0.0717610250833006</v>
      </c>
      <c r="Y117" s="2">
        <f t="shared" si="70"/>
        <v>0.781858603750339</v>
      </c>
      <c r="Z117" s="1">
        <f t="shared" si="71"/>
        <v>0.118251094464518</v>
      </c>
      <c r="AA117" s="1">
        <f t="shared" si="72"/>
        <v>2.40638967121136</v>
      </c>
      <c r="AB117" s="1">
        <f t="shared" si="73"/>
        <v>0.2078425668155</v>
      </c>
      <c r="AC117" s="2">
        <f t="shared" si="74"/>
        <v>0.795363081856721</v>
      </c>
      <c r="AD117" s="2">
        <f t="shared" si="75"/>
        <v>-0.0594272308354</v>
      </c>
      <c r="AE117" s="1">
        <f t="shared" si="76"/>
        <v>-0.113980798765032</v>
      </c>
      <c r="AF117" s="2">
        <f t="shared" si="77"/>
        <v>-0.0823016600015627</v>
      </c>
      <c r="AG117" s="7">
        <f t="shared" si="78"/>
        <v>-0.0872749671978431</v>
      </c>
      <c r="AH117" s="1">
        <f t="shared" si="79"/>
        <v>-22.8956561848571</v>
      </c>
      <c r="AI117" s="1">
        <f t="shared" si="80"/>
        <v>-0.204636918143279</v>
      </c>
      <c r="AJ117" s="1">
        <f t="shared" si="81"/>
        <v>-0.152724193848864</v>
      </c>
      <c r="AK117" s="2">
        <f t="shared" si="82"/>
        <v>-0.09734879706917</v>
      </c>
      <c r="AL117" s="2">
        <f t="shared" si="83"/>
        <v>-0.101170649306823</v>
      </c>
      <c r="AM117" s="1">
        <f t="shared" si="84"/>
        <v>1.25048551027109</v>
      </c>
      <c r="AN117" s="1">
        <f t="shared" si="85"/>
        <v>0.1056941818264</v>
      </c>
      <c r="AO117" s="1">
        <f t="shared" si="86"/>
        <v>0.222461442242417</v>
      </c>
      <c r="AP117" s="1">
        <f t="shared" si="87"/>
        <v>1.57221970543556</v>
      </c>
      <c r="AQ117" s="1">
        <f t="shared" si="88"/>
        <v>0.0592946483784</v>
      </c>
      <c r="AR117" s="1">
        <f t="shared" si="89"/>
        <v>0.113697594658008</v>
      </c>
      <c r="AS117" s="1">
        <f t="shared" si="90"/>
        <v>-0.56225640625146</v>
      </c>
      <c r="AT117" s="1">
        <f t="shared" si="91"/>
        <v>0.307126018124322</v>
      </c>
      <c r="AU117" s="2">
        <f t="shared" si="92"/>
        <v>0.385924155886688</v>
      </c>
      <c r="AV117" s="2">
        <f t="shared" si="93"/>
        <v>0.261594850654772</v>
      </c>
      <c r="AW117" s="2">
        <f t="shared" si="94"/>
        <v>0.327120570305323</v>
      </c>
      <c r="AX117" s="2">
        <f t="shared" si="95"/>
        <v>-0.1187218792138</v>
      </c>
      <c r="AY117" s="11">
        <f t="shared" si="96"/>
        <v>-348.967367462464</v>
      </c>
      <c r="AZ117" s="2">
        <f t="shared" si="97"/>
        <v>-0.11980513985464</v>
      </c>
      <c r="BA117" s="1">
        <f t="shared" si="98"/>
        <v>6.80824802899426</v>
      </c>
      <c r="BB117" s="2">
        <f t="shared" si="99"/>
        <v>-0.0472451352251346</v>
      </c>
      <c r="BC117" s="1">
        <f t="shared" si="100"/>
        <v>0.475566359859202</v>
      </c>
      <c r="BD117" s="1">
        <f t="shared" si="101"/>
        <v>-0.200361107343189</v>
      </c>
      <c r="BE117" s="2">
        <f t="shared" si="102"/>
        <v>-0.17807486387328</v>
      </c>
      <c r="BF117" s="1">
        <f t="shared" si="103"/>
        <v>397.253004978879</v>
      </c>
    </row>
    <row r="118" s="3" customFormat="1" spans="1:58">
      <c r="A118" s="8">
        <v>174</v>
      </c>
      <c r="B118" s="9">
        <v>0.166651408913</v>
      </c>
      <c r="C118" s="9">
        <v>0.205258448044</v>
      </c>
      <c r="D118" s="6">
        <v>0.155716414975</v>
      </c>
      <c r="E118" s="10">
        <v>0.2608307432745</v>
      </c>
      <c r="F118" s="9">
        <v>0.239297963051</v>
      </c>
      <c r="G118" s="1">
        <f t="shared" si="52"/>
        <v>1.16583733985801</v>
      </c>
      <c r="H118" s="1">
        <f t="shared" si="53"/>
        <v>0.034039515007</v>
      </c>
      <c r="I118" s="1">
        <f t="shared" si="54"/>
        <v>0.0765696189672673</v>
      </c>
      <c r="J118" s="1">
        <f t="shared" si="55"/>
        <v>-0.754539131895325</v>
      </c>
      <c r="K118" s="1">
        <f t="shared" si="56"/>
        <v>0.165837339858008</v>
      </c>
      <c r="L118" s="1">
        <f t="shared" si="57"/>
        <v>0.112685855028361</v>
      </c>
      <c r="M118" s="1">
        <f t="shared" si="58"/>
        <v>0.0540563505903351</v>
      </c>
      <c r="N118" s="1">
        <f t="shared" si="59"/>
        <v>0.0475737057364558</v>
      </c>
      <c r="O118" s="1">
        <f t="shared" si="60"/>
        <v>0.065313735299906</v>
      </c>
      <c r="P118" s="1">
        <f t="shared" si="61"/>
        <v>0.0510528421727583</v>
      </c>
      <c r="Q118" s="2">
        <f t="shared" si="62"/>
        <v>0.211591153956676</v>
      </c>
      <c r="R118" s="1">
        <f t="shared" si="63"/>
        <v>1.53675489568276</v>
      </c>
      <c r="S118" s="2">
        <f t="shared" si="64"/>
        <v>0.174688439807623</v>
      </c>
      <c r="T118" s="1">
        <f t="shared" si="65"/>
        <v>-0.688603615281774</v>
      </c>
      <c r="U118" s="1">
        <f t="shared" si="66"/>
        <v>0.140078556492595</v>
      </c>
      <c r="V118" s="2">
        <f t="shared" si="67"/>
        <v>0.123344732667915</v>
      </c>
      <c r="W118" s="2">
        <f t="shared" si="68"/>
        <v>0.083581548076</v>
      </c>
      <c r="X118" s="1">
        <f t="shared" si="69"/>
        <v>0.132985398472487</v>
      </c>
      <c r="Y118" s="2">
        <f t="shared" si="70"/>
        <v>0.843558625085818</v>
      </c>
      <c r="Z118" s="1">
        <f t="shared" si="71"/>
        <v>0.239659185293588</v>
      </c>
      <c r="AA118" s="1">
        <f t="shared" si="72"/>
        <v>2.53094031963422</v>
      </c>
      <c r="AB118" s="1">
        <f t="shared" si="73"/>
        <v>0.197507189013</v>
      </c>
      <c r="AC118" s="2">
        <f t="shared" si="74"/>
        <v>0.917445390243593</v>
      </c>
      <c r="AD118" s="2">
        <f t="shared" si="75"/>
        <v>-0.0215327802234999</v>
      </c>
      <c r="AE118" s="1">
        <f t="shared" si="76"/>
        <v>-0.0430544776797629</v>
      </c>
      <c r="AF118" s="2">
        <f t="shared" si="77"/>
        <v>-0.0304480312256132</v>
      </c>
      <c r="AG118" s="7">
        <f t="shared" si="78"/>
        <v>-0.0322950137626965</v>
      </c>
      <c r="AH118" s="1">
        <f t="shared" si="79"/>
        <v>-8.61622209952781</v>
      </c>
      <c r="AI118" s="1">
        <f t="shared" si="80"/>
        <v>-0.082554609756407</v>
      </c>
      <c r="AJ118" s="1">
        <f t="shared" si="81"/>
        <v>-0.059618332777081</v>
      </c>
      <c r="AK118" s="2">
        <f t="shared" si="82"/>
        <v>-0.0360878787293757</v>
      </c>
      <c r="AL118" s="2">
        <f t="shared" si="83"/>
        <v>-0.037838113719211</v>
      </c>
      <c r="AM118" s="1">
        <f t="shared" si="84"/>
        <v>1.53675489568276</v>
      </c>
      <c r="AN118" s="1">
        <f t="shared" si="85"/>
        <v>0.1051143282995</v>
      </c>
      <c r="AO118" s="1">
        <f t="shared" si="86"/>
        <v>0.252346766069016</v>
      </c>
      <c r="AP118" s="1">
        <f t="shared" si="87"/>
        <v>1.67503691448571</v>
      </c>
      <c r="AQ118" s="1">
        <f t="shared" si="88"/>
        <v>0.0555722952304999</v>
      </c>
      <c r="AR118" s="1">
        <f t="shared" si="89"/>
        <v>0.119231031883176</v>
      </c>
      <c r="AS118" s="1">
        <f t="shared" si="90"/>
        <v>-0.204851047158358</v>
      </c>
      <c r="AT118" s="1">
        <f t="shared" si="91"/>
        <v>0.290986937843328</v>
      </c>
      <c r="AU118" s="2">
        <f t="shared" si="92"/>
        <v>0.369769624607978</v>
      </c>
      <c r="AV118" s="2">
        <f t="shared" si="93"/>
        <v>0.237428639655387</v>
      </c>
      <c r="AW118" s="2">
        <f t="shared" si="94"/>
        <v>0.364869624365715</v>
      </c>
      <c r="AX118" s="2">
        <f t="shared" si="95"/>
        <v>-0.0771050754539999</v>
      </c>
      <c r="AY118" s="11">
        <f t="shared" si="96"/>
        <v>2.45542711342427</v>
      </c>
      <c r="AZ118" s="2">
        <f t="shared" si="97"/>
        <v>-0.042560148053324</v>
      </c>
      <c r="BA118" s="1">
        <f t="shared" si="98"/>
        <v>4.3407684191801</v>
      </c>
      <c r="BB118" s="2">
        <f t="shared" si="99"/>
        <v>-0.0260010291810384</v>
      </c>
      <c r="BC118" s="1">
        <f t="shared" si="100"/>
        <v>0.522837984539453</v>
      </c>
      <c r="BD118" s="1">
        <f t="shared" si="101"/>
        <v>-0.110607244265549</v>
      </c>
      <c r="BE118" s="2">
        <f t="shared" si="102"/>
        <v>-0.11769998408142</v>
      </c>
      <c r="BF118" s="1">
        <f t="shared" si="103"/>
        <v>-0.562291914997882</v>
      </c>
    </row>
    <row r="119" s="3" customFormat="1" spans="1:58">
      <c r="A119" s="8">
        <v>210.5</v>
      </c>
      <c r="B119" s="9">
        <v>0.0933238336039</v>
      </c>
      <c r="C119" s="9">
        <v>0.13349750781</v>
      </c>
      <c r="D119" s="6">
        <v>0.0738444147215</v>
      </c>
      <c r="E119" s="10">
        <v>0.17732130301593</v>
      </c>
      <c r="F119" s="9">
        <v>0.295105695187</v>
      </c>
      <c r="G119" s="1">
        <f t="shared" si="52"/>
        <v>2.2105708190973</v>
      </c>
      <c r="H119" s="1">
        <f t="shared" si="53"/>
        <v>0.161608187377</v>
      </c>
      <c r="I119" s="1">
        <f t="shared" si="54"/>
        <v>0.377057815356856</v>
      </c>
      <c r="J119" s="1">
        <f t="shared" si="55"/>
        <v>-0.580692163521288</v>
      </c>
      <c r="K119" s="1">
        <f t="shared" si="56"/>
        <v>1.2105708190973</v>
      </c>
      <c r="L119" s="1">
        <f t="shared" si="57"/>
        <v>0.675614674488046</v>
      </c>
      <c r="M119" s="1">
        <f t="shared" si="58"/>
        <v>0.261050446825007</v>
      </c>
      <c r="N119" s="1">
        <f t="shared" si="59"/>
        <v>0.239248976450235</v>
      </c>
      <c r="O119" s="1">
        <f t="shared" si="60"/>
        <v>0.318492146156866</v>
      </c>
      <c r="P119" s="1">
        <f t="shared" si="61"/>
        <v>0.246851433206601</v>
      </c>
      <c r="Q119" s="2">
        <f t="shared" si="62"/>
        <v>0.599705148537218</v>
      </c>
      <c r="R119" s="1">
        <f t="shared" si="63"/>
        <v>3.99631707150736</v>
      </c>
      <c r="S119" s="2">
        <f t="shared" si="64"/>
        <v>0.485231178767273</v>
      </c>
      <c r="T119" s="1">
        <f t="shared" si="65"/>
        <v>-0.35175500678618</v>
      </c>
      <c r="U119" s="1">
        <f t="shared" si="66"/>
        <v>0.381945887242247</v>
      </c>
      <c r="V119" s="2">
        <f t="shared" si="67"/>
        <v>0.359593920848116</v>
      </c>
      <c r="W119" s="2">
        <f t="shared" si="68"/>
        <v>0.2212612804655</v>
      </c>
      <c r="X119" s="1">
        <f t="shared" si="69"/>
        <v>0.364268484866723</v>
      </c>
      <c r="Y119" s="2">
        <f t="shared" si="70"/>
        <v>1.04866827382982</v>
      </c>
      <c r="Z119" s="1">
        <f t="shared" si="71"/>
        <v>0.999079055842305</v>
      </c>
      <c r="AA119" s="1">
        <f t="shared" si="72"/>
        <v>3.00905506317011</v>
      </c>
      <c r="AB119" s="1">
        <f t="shared" si="73"/>
        <v>0.18447505495425</v>
      </c>
      <c r="AC119" s="2">
        <f t="shared" si="74"/>
        <v>1.66424276253197</v>
      </c>
      <c r="AD119" s="2">
        <f t="shared" si="75"/>
        <v>0.11778439217107</v>
      </c>
      <c r="AE119" s="1">
        <f t="shared" si="76"/>
        <v>0.24931765673662</v>
      </c>
      <c r="AF119" s="2">
        <f t="shared" si="77"/>
        <v>0.171364315585942</v>
      </c>
      <c r="AG119" s="7">
        <f t="shared" si="78"/>
        <v>0.181686222804496</v>
      </c>
      <c r="AH119" s="1">
        <f t="shared" si="79"/>
        <v>50.9370222702662</v>
      </c>
      <c r="AI119" s="1">
        <f t="shared" si="80"/>
        <v>0.66424276253197</v>
      </c>
      <c r="AJ119" s="1">
        <f t="shared" si="81"/>
        <v>0.406948951416182</v>
      </c>
      <c r="AK119" s="2">
        <f t="shared" si="82"/>
        <v>0.203321901041256</v>
      </c>
      <c r="AL119" s="2">
        <f t="shared" si="83"/>
        <v>0.21604057908135</v>
      </c>
      <c r="AM119" s="1">
        <f t="shared" si="84"/>
        <v>3.99631707150736</v>
      </c>
      <c r="AN119" s="1">
        <f t="shared" si="85"/>
        <v>0.10347688829443</v>
      </c>
      <c r="AO119" s="1">
        <f t="shared" si="86"/>
        <v>0.411986513233487</v>
      </c>
      <c r="AP119" s="1">
        <f t="shared" si="87"/>
        <v>2.40128253009638</v>
      </c>
      <c r="AQ119" s="1">
        <f t="shared" si="88"/>
        <v>0.04382379520593</v>
      </c>
      <c r="AR119" s="1">
        <f t="shared" si="89"/>
        <v>0.140994668532057</v>
      </c>
      <c r="AS119" s="1">
        <f t="shared" si="90"/>
        <v>1.13826762780042</v>
      </c>
      <c r="AT119" s="1">
        <f t="shared" si="91"/>
        <v>0.220320364146406</v>
      </c>
      <c r="AU119" s="2">
        <f t="shared" si="92"/>
        <v>0.292645868018657</v>
      </c>
      <c r="AV119" s="2">
        <f t="shared" si="93"/>
        <v>0.135178984245539</v>
      </c>
      <c r="AW119" s="2">
        <f t="shared" si="94"/>
        <v>0.540218082449473</v>
      </c>
      <c r="AX119" s="2">
        <f t="shared" si="95"/>
        <v>0.07396059696514</v>
      </c>
      <c r="AY119" s="11">
        <f t="shared" si="96"/>
        <v>1.36912172617431</v>
      </c>
      <c r="AZ119" s="2">
        <f t="shared" si="97"/>
        <v>0.216865887687295</v>
      </c>
      <c r="BA119" s="1">
        <f t="shared" si="98"/>
        <v>1.87302582077618</v>
      </c>
      <c r="BB119" s="2">
        <f t="shared" si="99"/>
        <v>0.142230770968314</v>
      </c>
      <c r="BC119" s="1">
        <f t="shared" si="100"/>
        <v>0.741068209478289</v>
      </c>
      <c r="BD119" s="1">
        <f t="shared" si="101"/>
        <v>0.132413685727251</v>
      </c>
      <c r="BE119" s="2">
        <f t="shared" si="102"/>
        <v>0.10124440420509</v>
      </c>
      <c r="BF119" s="1">
        <f t="shared" si="103"/>
        <v>0.661218642294048</v>
      </c>
    </row>
    <row r="120" s="3" customFormat="1" spans="1:58">
      <c r="A120" s="8">
        <v>210.5</v>
      </c>
      <c r="B120" s="9">
        <v>0.11258309371</v>
      </c>
      <c r="C120" s="9">
        <v>0.152206604951</v>
      </c>
      <c r="D120" s="6">
        <v>0.0947614629107</v>
      </c>
      <c r="E120" s="10">
        <v>0.198656692168914</v>
      </c>
      <c r="F120" s="9">
        <v>0.274192756828</v>
      </c>
      <c r="G120" s="1">
        <f t="shared" si="52"/>
        <v>1.80145110599025</v>
      </c>
      <c r="H120" s="1">
        <f t="shared" si="53"/>
        <v>0.121986151877</v>
      </c>
      <c r="I120" s="1">
        <f t="shared" si="54"/>
        <v>0.286084274066584</v>
      </c>
      <c r="J120" s="1">
        <f t="shared" si="55"/>
        <v>-0.644501347458263</v>
      </c>
      <c r="K120" s="1">
        <f t="shared" si="56"/>
        <v>0.80145110599025</v>
      </c>
      <c r="L120" s="1">
        <f t="shared" si="57"/>
        <v>0.478834582979427</v>
      </c>
      <c r="M120" s="1">
        <f t="shared" si="58"/>
        <v>0.197516573698969</v>
      </c>
      <c r="N120" s="1">
        <f t="shared" si="59"/>
        <v>0.178036635521728</v>
      </c>
      <c r="O120" s="1">
        <f t="shared" si="60"/>
        <v>0.241309840017612</v>
      </c>
      <c r="P120" s="1">
        <f t="shared" si="61"/>
        <v>0.18681091966453</v>
      </c>
      <c r="Q120" s="2">
        <f t="shared" si="62"/>
        <v>0.486324005304442</v>
      </c>
      <c r="R120" s="1">
        <f t="shared" si="63"/>
        <v>2.89350489540658</v>
      </c>
      <c r="S120" s="2">
        <f t="shared" si="64"/>
        <v>0.393493979586528</v>
      </c>
      <c r="T120" s="1">
        <f t="shared" si="65"/>
        <v>-0.484537883871985</v>
      </c>
      <c r="U120" s="1">
        <f t="shared" si="66"/>
        <v>0.309736617605567</v>
      </c>
      <c r="V120" s="2">
        <f t="shared" si="67"/>
        <v>0.28377269515603</v>
      </c>
      <c r="W120" s="2">
        <f t="shared" si="68"/>
        <v>0.1794312939173</v>
      </c>
      <c r="X120" s="1">
        <f t="shared" si="69"/>
        <v>0.295400991086387</v>
      </c>
      <c r="Y120" s="2">
        <f t="shared" si="70"/>
        <v>0.993138462302434</v>
      </c>
      <c r="Z120" s="1">
        <f t="shared" si="71"/>
        <v>0.701030539233962</v>
      </c>
      <c r="AA120" s="1">
        <f t="shared" si="72"/>
        <v>2.86182765227305</v>
      </c>
      <c r="AB120" s="1">
        <f t="shared" si="73"/>
        <v>0.18447710986935</v>
      </c>
      <c r="AC120" s="2">
        <f t="shared" si="74"/>
        <v>1.38023418106076</v>
      </c>
      <c r="AD120" s="2">
        <f t="shared" si="75"/>
        <v>0.075536064659086</v>
      </c>
      <c r="AE120" s="1">
        <f t="shared" si="76"/>
        <v>0.15974654262435</v>
      </c>
      <c r="AF120" s="2">
        <f t="shared" si="77"/>
        <v>0.10984819148597</v>
      </c>
      <c r="AG120" s="7">
        <f t="shared" si="78"/>
        <v>0.116466219007941</v>
      </c>
      <c r="AH120" s="1">
        <f t="shared" si="79"/>
        <v>32.2253181193143</v>
      </c>
      <c r="AI120" s="1">
        <f t="shared" si="80"/>
        <v>0.380234181060757</v>
      </c>
      <c r="AJ120" s="1">
        <f t="shared" si="81"/>
        <v>0.24645708716135</v>
      </c>
      <c r="AK120" s="2">
        <f t="shared" si="82"/>
        <v>0.130391330653415</v>
      </c>
      <c r="AL120" s="2">
        <f t="shared" si="83"/>
        <v>0.138456050081774</v>
      </c>
      <c r="AM120" s="1">
        <f t="shared" si="84"/>
        <v>2.89350489540658</v>
      </c>
      <c r="AN120" s="1">
        <f t="shared" si="85"/>
        <v>0.103895229258214</v>
      </c>
      <c r="AO120" s="1">
        <f t="shared" si="86"/>
        <v>0.354085892299418</v>
      </c>
      <c r="AP120" s="1">
        <f t="shared" si="87"/>
        <v>2.0963869284724</v>
      </c>
      <c r="AQ120" s="1">
        <f t="shared" si="88"/>
        <v>0.046450087217914</v>
      </c>
      <c r="AR120" s="1">
        <f t="shared" si="89"/>
        <v>0.132387991560254</v>
      </c>
      <c r="AS120" s="1">
        <f t="shared" si="90"/>
        <v>0.727040742855996</v>
      </c>
      <c r="AT120" s="1">
        <f t="shared" si="91"/>
        <v>0.243508728520664</v>
      </c>
      <c r="AU120" s="2">
        <f t="shared" si="92"/>
        <v>0.317822203167507</v>
      </c>
      <c r="AV120" s="2">
        <f t="shared" si="93"/>
        <v>0.166947923168404</v>
      </c>
      <c r="AW120" s="2">
        <f t="shared" si="94"/>
        <v>0.483064632965739</v>
      </c>
      <c r="AX120" s="2">
        <f t="shared" si="95"/>
        <v>0.0290859774411719</v>
      </c>
      <c r="AY120" s="11">
        <f t="shared" si="96"/>
        <v>1.47091527322071</v>
      </c>
      <c r="AZ120" s="2">
        <f t="shared" si="97"/>
        <v>0.142565704461099</v>
      </c>
      <c r="BA120" s="1">
        <f t="shared" si="98"/>
        <v>2.25574541798564</v>
      </c>
      <c r="BB120" s="2">
        <f t="shared" si="99"/>
        <v>0.0705835670579451</v>
      </c>
      <c r="BC120" s="1">
        <f t="shared" si="100"/>
        <v>0.667893866199234</v>
      </c>
      <c r="BD120" s="1">
        <f t="shared" si="101"/>
        <v>0.078013870967288</v>
      </c>
      <c r="BE120" s="2">
        <f t="shared" si="102"/>
        <v>0.0363097970491379</v>
      </c>
      <c r="BF120" s="1">
        <f t="shared" si="103"/>
        <v>0.55838980714882</v>
      </c>
    </row>
    <row r="121" s="3" customFormat="1" spans="1:58">
      <c r="A121" s="8">
        <v>208.5</v>
      </c>
      <c r="B121" s="9">
        <v>0.112584328787</v>
      </c>
      <c r="C121" s="9">
        <v>0.152188700094</v>
      </c>
      <c r="D121" s="6">
        <v>0.0931172123499</v>
      </c>
      <c r="E121" s="10">
        <v>0.196979556596898</v>
      </c>
      <c r="F121" s="9">
        <v>0.281321259261</v>
      </c>
      <c r="G121" s="1">
        <f t="shared" si="52"/>
        <v>1.84850293804494</v>
      </c>
      <c r="H121" s="1">
        <f t="shared" si="53"/>
        <v>0.129132559167</v>
      </c>
      <c r="I121" s="1">
        <f t="shared" si="54"/>
        <v>0.297876799322282</v>
      </c>
      <c r="J121" s="1">
        <f t="shared" si="55"/>
        <v>-0.636901853697806</v>
      </c>
      <c r="K121" s="1">
        <f t="shared" si="56"/>
        <v>0.848502938044945</v>
      </c>
      <c r="L121" s="1">
        <f t="shared" si="57"/>
        <v>0.502741821813524</v>
      </c>
      <c r="M121" s="1">
        <f t="shared" si="58"/>
        <v>0.207495203248109</v>
      </c>
      <c r="N121" s="1">
        <f t="shared" si="59"/>
        <v>0.187858714664296</v>
      </c>
      <c r="O121" s="1">
        <f t="shared" si="60"/>
        <v>0.252386276376068</v>
      </c>
      <c r="P121" s="1">
        <f t="shared" si="61"/>
        <v>0.19612647300393</v>
      </c>
      <c r="Q121" s="2">
        <f t="shared" si="62"/>
        <v>0.502630101285835</v>
      </c>
      <c r="R121" s="1">
        <f t="shared" si="63"/>
        <v>3.02115207448327</v>
      </c>
      <c r="S121" s="2">
        <f t="shared" si="64"/>
        <v>0.408497340692611</v>
      </c>
      <c r="T121" s="1">
        <f t="shared" si="65"/>
        <v>-0.467848701905334</v>
      </c>
      <c r="U121" s="1">
        <f t="shared" si="66"/>
        <v>0.322842692232631</v>
      </c>
      <c r="V121" s="2">
        <f t="shared" si="67"/>
        <v>0.297529138251372</v>
      </c>
      <c r="W121" s="2">
        <f t="shared" si="68"/>
        <v>0.1882040469111</v>
      </c>
      <c r="X121" s="1">
        <f t="shared" si="69"/>
        <v>0.307566284175184</v>
      </c>
      <c r="Y121" s="2">
        <f t="shared" si="70"/>
        <v>1.00131418709905</v>
      </c>
      <c r="Z121" s="1">
        <f t="shared" si="71"/>
        <v>0.738146160276309</v>
      </c>
      <c r="AA121" s="1">
        <f t="shared" si="72"/>
        <v>2.88106389972888</v>
      </c>
      <c r="AB121" s="1">
        <f t="shared" si="73"/>
        <v>0.18721923580545</v>
      </c>
      <c r="AC121" s="2">
        <f t="shared" si="74"/>
        <v>1.42817490363581</v>
      </c>
      <c r="AD121" s="2">
        <f t="shared" si="75"/>
        <v>0.084341702664102</v>
      </c>
      <c r="AE121" s="1">
        <f t="shared" si="76"/>
        <v>0.176336104534598</v>
      </c>
      <c r="AF121" s="2">
        <f t="shared" si="77"/>
        <v>0.121952807665929</v>
      </c>
      <c r="AG121" s="7">
        <f t="shared" si="78"/>
        <v>0.129318663488194</v>
      </c>
      <c r="AH121" s="1">
        <f t="shared" si="79"/>
        <v>35.6397337954826</v>
      </c>
      <c r="AI121" s="1">
        <f t="shared" si="80"/>
        <v>0.428174903635813</v>
      </c>
      <c r="AJ121" s="1">
        <f t="shared" si="81"/>
        <v>0.274777536502925</v>
      </c>
      <c r="AK121" s="2">
        <f t="shared" si="82"/>
        <v>0.144678623028891</v>
      </c>
      <c r="AL121" s="2">
        <f t="shared" si="83"/>
        <v>0.153276280806351</v>
      </c>
      <c r="AM121" s="1">
        <f t="shared" si="84"/>
        <v>3.02115207448327</v>
      </c>
      <c r="AN121" s="1">
        <f t="shared" si="85"/>
        <v>0.103862344246998</v>
      </c>
      <c r="AO121" s="1">
        <f t="shared" si="86"/>
        <v>0.358026546190336</v>
      </c>
      <c r="AP121" s="1">
        <f t="shared" si="87"/>
        <v>2.11539361656062</v>
      </c>
      <c r="AQ121" s="1">
        <f t="shared" si="88"/>
        <v>0.044790856502898</v>
      </c>
      <c r="AR121" s="1">
        <f t="shared" si="89"/>
        <v>0.128278718481987</v>
      </c>
      <c r="AS121" s="1">
        <f t="shared" si="90"/>
        <v>0.812052753821217</v>
      </c>
      <c r="AT121" s="1">
        <f t="shared" si="91"/>
        <v>0.241381809282315</v>
      </c>
      <c r="AU121" s="2">
        <f t="shared" si="92"/>
        <v>0.312423207068722</v>
      </c>
      <c r="AV121" s="2">
        <f t="shared" si="93"/>
        <v>0.162958128293491</v>
      </c>
      <c r="AW121" s="2">
        <f t="shared" si="94"/>
        <v>0.492321287347792</v>
      </c>
      <c r="AX121" s="2">
        <f t="shared" si="95"/>
        <v>0.039550846161204</v>
      </c>
      <c r="AY121" s="11">
        <f t="shared" si="96"/>
        <v>1.4574484399996</v>
      </c>
      <c r="AZ121" s="2">
        <f t="shared" si="97"/>
        <v>0.159522554855441</v>
      </c>
      <c r="BA121" s="1">
        <f t="shared" si="98"/>
        <v>2.23500154567963</v>
      </c>
      <c r="BB121" s="2">
        <f t="shared" si="99"/>
        <v>0.083569927025869</v>
      </c>
      <c r="BC121" s="1">
        <f t="shared" si="100"/>
        <v>0.689763380427803</v>
      </c>
      <c r="BD121" s="1">
        <f t="shared" si="101"/>
        <v>0.0917521300556278</v>
      </c>
      <c r="BE121" s="2">
        <f t="shared" si="102"/>
        <v>0.051578315691786</v>
      </c>
      <c r="BF121" s="1">
        <f t="shared" si="103"/>
        <v>0.591976632405718</v>
      </c>
    </row>
    <row r="122" s="3" customFormat="1" spans="1:58">
      <c r="A122" s="8">
        <v>176.5</v>
      </c>
      <c r="B122" s="9">
        <v>0.108411424268</v>
      </c>
      <c r="C122" s="9">
        <v>0.144120554661</v>
      </c>
      <c r="D122" s="6">
        <v>0.0919672779494</v>
      </c>
      <c r="E122" s="10">
        <v>0.195806623508388</v>
      </c>
      <c r="F122" s="9">
        <v>0.233743556212</v>
      </c>
      <c r="G122" s="1">
        <f t="shared" si="52"/>
        <v>1.62186134213687</v>
      </c>
      <c r="H122" s="1">
        <f t="shared" si="53"/>
        <v>0.089623001551</v>
      </c>
      <c r="I122" s="1">
        <f t="shared" si="54"/>
        <v>0.237183153869626</v>
      </c>
      <c r="J122" s="1">
        <f t="shared" si="55"/>
        <v>-0.674167829960539</v>
      </c>
      <c r="K122" s="1">
        <f t="shared" si="56"/>
        <v>0.621861342136873</v>
      </c>
      <c r="L122" s="1">
        <f t="shared" si="57"/>
        <v>0.384050822675361</v>
      </c>
      <c r="M122" s="1">
        <f t="shared" si="58"/>
        <v>0.153138168722731</v>
      </c>
      <c r="N122" s="1">
        <f t="shared" si="59"/>
        <v>0.134465988485131</v>
      </c>
      <c r="O122" s="1">
        <f t="shared" si="60"/>
        <v>0.193288006575526</v>
      </c>
      <c r="P122" s="1">
        <f t="shared" si="61"/>
        <v>0.145798032109931</v>
      </c>
      <c r="Q122" s="2">
        <f t="shared" si="62"/>
        <v>0.435282659932477</v>
      </c>
      <c r="R122" s="1">
        <f t="shared" si="63"/>
        <v>2.54159480876018</v>
      </c>
      <c r="S122" s="2">
        <f t="shared" si="64"/>
        <v>0.338597517736173</v>
      </c>
      <c r="T122" s="1">
        <f t="shared" si="65"/>
        <v>-0.532577176501526</v>
      </c>
      <c r="U122" s="1">
        <f t="shared" si="66"/>
        <v>0.257553139180842</v>
      </c>
      <c r="V122" s="2">
        <f t="shared" si="67"/>
        <v>0.228939584597837</v>
      </c>
      <c r="W122" s="2">
        <f t="shared" si="68"/>
        <v>0.1417762782626</v>
      </c>
      <c r="X122" s="1">
        <f t="shared" si="69"/>
        <v>0.248420521530472</v>
      </c>
      <c r="Y122" s="2">
        <f t="shared" si="70"/>
        <v>0.967100129217485</v>
      </c>
      <c r="Z122" s="1">
        <f t="shared" si="71"/>
        <v>0.594238002545474</v>
      </c>
      <c r="AA122" s="1">
        <f t="shared" si="72"/>
        <v>2.82161365606503</v>
      </c>
      <c r="AB122" s="1">
        <f t="shared" si="73"/>
        <v>0.1628554170807</v>
      </c>
      <c r="AC122" s="2">
        <f t="shared" si="74"/>
        <v>1.19374693268222</v>
      </c>
      <c r="AD122" s="2">
        <f t="shared" si="75"/>
        <v>0.037936932703612</v>
      </c>
      <c r="AE122" s="1">
        <f t="shared" si="76"/>
        <v>0.0883178135981847</v>
      </c>
      <c r="AF122" s="2">
        <f t="shared" si="77"/>
        <v>0.0578835637379428</v>
      </c>
      <c r="AG122" s="7">
        <f t="shared" si="78"/>
        <v>0.0612182110195873</v>
      </c>
      <c r="AH122" s="1">
        <f t="shared" si="79"/>
        <v>17.7097043328637</v>
      </c>
      <c r="AI122" s="1">
        <f t="shared" si="80"/>
        <v>0.193746932682218</v>
      </c>
      <c r="AJ122" s="1">
        <f t="shared" si="81"/>
        <v>0.130810188769255</v>
      </c>
      <c r="AK122" s="2">
        <f t="shared" si="82"/>
        <v>0.0689168613285929</v>
      </c>
      <c r="AL122" s="2">
        <f t="shared" si="83"/>
        <v>0.0746447774081953</v>
      </c>
      <c r="AM122" s="1">
        <f t="shared" si="84"/>
        <v>2.54159480876018</v>
      </c>
      <c r="AN122" s="1">
        <f t="shared" si="85"/>
        <v>0.103839345558988</v>
      </c>
      <c r="AO122" s="1">
        <f t="shared" si="86"/>
        <v>0.360836563124609</v>
      </c>
      <c r="AP122" s="1">
        <f t="shared" si="87"/>
        <v>2.12909012720938</v>
      </c>
      <c r="AQ122" s="1">
        <f t="shared" si="88"/>
        <v>0.051686068847388</v>
      </c>
      <c r="AR122" s="1">
        <f t="shared" si="89"/>
        <v>0.152050415991252</v>
      </c>
      <c r="AS122" s="1">
        <f t="shared" si="90"/>
        <v>0.365342563547467</v>
      </c>
      <c r="AT122" s="1">
        <f t="shared" si="91"/>
        <v>0.251225216877084</v>
      </c>
      <c r="AU122" s="2">
        <f t="shared" si="92"/>
        <v>0.341322315700023</v>
      </c>
      <c r="AV122" s="2">
        <f t="shared" si="93"/>
        <v>0.176345540493165</v>
      </c>
      <c r="AW122" s="2">
        <f t="shared" si="94"/>
        <v>0.448198910265437</v>
      </c>
      <c r="AX122" s="2">
        <f t="shared" si="95"/>
        <v>-0.013749136143776</v>
      </c>
      <c r="AY122" s="11">
        <f t="shared" si="96"/>
        <v>1.58191843398508</v>
      </c>
      <c r="AZ122" s="2">
        <f t="shared" si="97"/>
        <v>0.0714346780740704</v>
      </c>
      <c r="BA122" s="1">
        <f t="shared" si="98"/>
        <v>2.30825976779855</v>
      </c>
      <c r="BB122" s="2">
        <f t="shared" si="99"/>
        <v>0.0238896604104525</v>
      </c>
      <c r="BC122" s="1">
        <f t="shared" si="100"/>
        <v>0.551407106614147</v>
      </c>
      <c r="BD122" s="1">
        <f t="shared" si="101"/>
        <v>0.0122637997289884</v>
      </c>
      <c r="BE122" s="2">
        <f t="shared" si="102"/>
        <v>-0.0260010843087241</v>
      </c>
      <c r="BF122" s="1">
        <f t="shared" si="103"/>
        <v>0.372361241333063</v>
      </c>
    </row>
    <row r="123" s="3" customFormat="1" spans="1:58">
      <c r="A123" s="8">
        <v>178</v>
      </c>
      <c r="B123" s="9">
        <v>0.125338827845</v>
      </c>
      <c r="C123" s="9">
        <v>0.165748308506</v>
      </c>
      <c r="D123" s="6">
        <v>0.111439851893</v>
      </c>
      <c r="E123" s="10">
        <v>0.21566864893086</v>
      </c>
      <c r="F123" s="9">
        <v>0.232111281038</v>
      </c>
      <c r="G123" s="1">
        <f t="shared" si="52"/>
        <v>1.40038401073395</v>
      </c>
      <c r="H123" s="1">
        <f t="shared" si="53"/>
        <v>0.066362972532</v>
      </c>
      <c r="I123" s="1">
        <f t="shared" si="54"/>
        <v>0.166799982395952</v>
      </c>
      <c r="J123" s="1">
        <f t="shared" si="55"/>
        <v>-0.712261213011803</v>
      </c>
      <c r="K123" s="1">
        <f t="shared" si="56"/>
        <v>0.400384010733948</v>
      </c>
      <c r="L123" s="1">
        <f t="shared" si="57"/>
        <v>0.258426093771591</v>
      </c>
      <c r="M123" s="1">
        <f t="shared" si="58"/>
        <v>0.110868625737523</v>
      </c>
      <c r="N123" s="1">
        <f t="shared" si="59"/>
        <v>0.0970829487888779</v>
      </c>
      <c r="O123" s="1">
        <f t="shared" si="60"/>
        <v>0.137993591183124</v>
      </c>
      <c r="P123" s="1">
        <f t="shared" si="61"/>
        <v>0.105210943585164</v>
      </c>
      <c r="Q123" s="2">
        <f t="shared" si="62"/>
        <v>0.351247361973439</v>
      </c>
      <c r="R123" s="1">
        <f t="shared" si="63"/>
        <v>2.08283910194769</v>
      </c>
      <c r="S123" s="2">
        <f t="shared" si="64"/>
        <v>0.277983403578959</v>
      </c>
      <c r="T123" s="1">
        <f t="shared" si="65"/>
        <v>-0.600075917542834</v>
      </c>
      <c r="U123" s="1">
        <f t="shared" si="66"/>
        <v>0.214577559855291</v>
      </c>
      <c r="V123" s="2">
        <f t="shared" si="67"/>
        <v>0.189300015925437</v>
      </c>
      <c r="W123" s="2">
        <f t="shared" si="68"/>
        <v>0.120671429145</v>
      </c>
      <c r="X123" s="1">
        <f t="shared" si="69"/>
        <v>0.205877442068688</v>
      </c>
      <c r="Y123" s="2">
        <f t="shared" si="70"/>
        <v>0.92263067474122</v>
      </c>
      <c r="Z123" s="1">
        <f t="shared" si="71"/>
        <v>0.443204456044844</v>
      </c>
      <c r="AA123" s="1">
        <f t="shared" si="72"/>
        <v>2.72178699585727</v>
      </c>
      <c r="AB123" s="1">
        <f t="shared" si="73"/>
        <v>0.1717755664655</v>
      </c>
      <c r="AC123" s="2">
        <f t="shared" si="74"/>
        <v>1.07624025183378</v>
      </c>
      <c r="AD123" s="2">
        <f t="shared" si="75"/>
        <v>0.01644263210714</v>
      </c>
      <c r="AE123" s="1">
        <f t="shared" si="76"/>
        <v>0.0367203418614216</v>
      </c>
      <c r="AF123" s="2">
        <f t="shared" si="77"/>
        <v>0.0245719163289266</v>
      </c>
      <c r="AG123" s="7">
        <f t="shared" si="78"/>
        <v>0.0260228639379611</v>
      </c>
      <c r="AH123" s="1">
        <f t="shared" si="79"/>
        <v>7.34737191891957</v>
      </c>
      <c r="AI123" s="1">
        <f t="shared" si="80"/>
        <v>0.0762402518337806</v>
      </c>
      <c r="AJ123" s="1">
        <f t="shared" si="81"/>
        <v>0.0529109450958618</v>
      </c>
      <c r="AK123" s="2">
        <f t="shared" si="82"/>
        <v>0.0292382372542287</v>
      </c>
      <c r="AL123" s="2">
        <f t="shared" si="83"/>
        <v>0.0313821702622849</v>
      </c>
      <c r="AM123" s="1">
        <f t="shared" si="84"/>
        <v>2.08283910194769</v>
      </c>
      <c r="AN123" s="1">
        <f t="shared" si="85"/>
        <v>0.10422879703786</v>
      </c>
      <c r="AO123" s="1">
        <f t="shared" si="86"/>
        <v>0.31863677273855</v>
      </c>
      <c r="AP123" s="1">
        <f t="shared" si="87"/>
        <v>1.93529195586096</v>
      </c>
      <c r="AQ123" s="1">
        <f t="shared" si="88"/>
        <v>0.04992034042486</v>
      </c>
      <c r="AR123" s="1">
        <f t="shared" si="89"/>
        <v>0.130881282154645</v>
      </c>
      <c r="AS123" s="1">
        <f t="shared" si="90"/>
        <v>0.157755174907827</v>
      </c>
      <c r="AT123" s="1">
        <f t="shared" si="91"/>
        <v>0.270155957153701</v>
      </c>
      <c r="AU123" s="2">
        <f t="shared" si="92"/>
        <v>0.35152196004373</v>
      </c>
      <c r="AV123" s="2">
        <f t="shared" si="93"/>
        <v>0.19927737806766</v>
      </c>
      <c r="AW123" s="2">
        <f t="shared" si="94"/>
        <v>0.415062715172935</v>
      </c>
      <c r="AX123" s="2">
        <f t="shared" si="95"/>
        <v>-0.03347770831772</v>
      </c>
      <c r="AY123" s="11">
        <f t="shared" si="96"/>
        <v>1.81835479245317</v>
      </c>
      <c r="AZ123" s="2">
        <f t="shared" si="97"/>
        <v>0.0320391522183346</v>
      </c>
      <c r="BA123" s="1">
        <f t="shared" si="98"/>
        <v>2.99216835392557</v>
      </c>
      <c r="BB123" s="2">
        <f t="shared" si="99"/>
        <v>0.00341172206574295</v>
      </c>
      <c r="BC123" s="1">
        <f t="shared" si="100"/>
        <v>0.533589227265685</v>
      </c>
      <c r="BD123" s="1">
        <f t="shared" si="101"/>
        <v>-0.0285949732538743</v>
      </c>
      <c r="BE123" s="2">
        <f t="shared" si="102"/>
        <v>-0.0541983408285001</v>
      </c>
      <c r="BF123" s="1">
        <f t="shared" si="103"/>
        <v>0.220145957655165</v>
      </c>
    </row>
    <row r="124" s="3" customFormat="1" spans="1:58">
      <c r="A124" s="8">
        <v>180.5</v>
      </c>
      <c r="B124" s="9">
        <v>0.118192909102</v>
      </c>
      <c r="C124" s="9">
        <v>0.157171519615</v>
      </c>
      <c r="D124" s="6">
        <v>0.106407957414</v>
      </c>
      <c r="E124" s="10">
        <v>0.21053611656228</v>
      </c>
      <c r="F124" s="9">
        <v>0.225023160097</v>
      </c>
      <c r="G124" s="1">
        <f t="shared" si="52"/>
        <v>1.43170442487422</v>
      </c>
      <c r="H124" s="1">
        <f t="shared" si="53"/>
        <v>0.067851640482</v>
      </c>
      <c r="I124" s="1">
        <f t="shared" si="54"/>
        <v>0.177531619574425</v>
      </c>
      <c r="J124" s="1">
        <f t="shared" si="55"/>
        <v>-0.706769300780048</v>
      </c>
      <c r="K124" s="1">
        <f t="shared" si="56"/>
        <v>0.431704424874215</v>
      </c>
      <c r="L124" s="1">
        <f t="shared" si="57"/>
        <v>0.276841445100558</v>
      </c>
      <c r="M124" s="1">
        <f t="shared" si="58"/>
        <v>0.115368481655575</v>
      </c>
      <c r="N124" s="1">
        <f t="shared" si="59"/>
        <v>0.100559148553468</v>
      </c>
      <c r="O124" s="1">
        <f t="shared" si="60"/>
        <v>0.145165391517541</v>
      </c>
      <c r="P124" s="1">
        <f t="shared" si="61"/>
        <v>0.109753412819607</v>
      </c>
      <c r="Q124" s="2">
        <f t="shared" si="62"/>
        <v>0.357887948403225</v>
      </c>
      <c r="R124" s="1">
        <f t="shared" si="63"/>
        <v>2.11472116903349</v>
      </c>
      <c r="S124" s="2">
        <f t="shared" si="64"/>
        <v>0.27998559759334</v>
      </c>
      <c r="T124" s="1">
        <f t="shared" si="65"/>
        <v>-0.595193312103332</v>
      </c>
      <c r="U124" s="1">
        <f t="shared" si="66"/>
        <v>0.213995844366681</v>
      </c>
      <c r="V124" s="2">
        <f t="shared" si="67"/>
        <v>0.187968063006357</v>
      </c>
      <c r="W124" s="2">
        <f t="shared" si="68"/>
        <v>0.118615202683</v>
      </c>
      <c r="X124" s="1">
        <f t="shared" si="69"/>
        <v>0.206036286943955</v>
      </c>
      <c r="Y124" s="2">
        <f t="shared" si="70"/>
        <v>0.926222407633947</v>
      </c>
      <c r="Z124" s="1">
        <f t="shared" si="71"/>
        <v>0.454208090004141</v>
      </c>
      <c r="AA124" s="1">
        <f t="shared" si="72"/>
        <v>2.73795754076095</v>
      </c>
      <c r="AB124" s="1">
        <f t="shared" si="73"/>
        <v>0.1657155587555</v>
      </c>
      <c r="AC124" s="2">
        <f t="shared" si="74"/>
        <v>1.06881025342003</v>
      </c>
      <c r="AD124" s="2">
        <f t="shared" si="75"/>
        <v>0.01448704353472</v>
      </c>
      <c r="AE124" s="1">
        <f t="shared" si="76"/>
        <v>0.0332607851813764</v>
      </c>
      <c r="AF124" s="2">
        <f t="shared" si="77"/>
        <v>0.0219510920667189</v>
      </c>
      <c r="AG124" s="7">
        <f t="shared" si="78"/>
        <v>0.0232273527121404</v>
      </c>
      <c r="AH124" s="1">
        <f t="shared" si="79"/>
        <v>6.65461171487194</v>
      </c>
      <c r="AI124" s="1">
        <f t="shared" si="80"/>
        <v>0.0688102534200326</v>
      </c>
      <c r="AJ124" s="1">
        <f t="shared" si="81"/>
        <v>0.0478401824544992</v>
      </c>
      <c r="AK124" s="2">
        <f t="shared" si="82"/>
        <v>0.0261363387109366</v>
      </c>
      <c r="AL124" s="2">
        <f t="shared" si="83"/>
        <v>0.0282171249091118</v>
      </c>
      <c r="AM124" s="1">
        <f t="shared" si="84"/>
        <v>2.11472116903349</v>
      </c>
      <c r="AN124" s="1">
        <f t="shared" si="85"/>
        <v>0.10412815914828</v>
      </c>
      <c r="AO124" s="1">
        <f t="shared" si="86"/>
        <v>0.32853795889578</v>
      </c>
      <c r="AP124" s="1">
        <f t="shared" si="87"/>
        <v>1.97857492690279</v>
      </c>
      <c r="AQ124" s="1">
        <f t="shared" si="88"/>
        <v>0.05336459694728</v>
      </c>
      <c r="AR124" s="1">
        <f t="shared" si="89"/>
        <v>0.145127790932119</v>
      </c>
      <c r="AS124" s="1">
        <f t="shared" si="90"/>
        <v>0.13912704933245</v>
      </c>
      <c r="AT124" s="1">
        <f t="shared" si="91"/>
        <v>0.265165097887491</v>
      </c>
      <c r="AU124" s="2">
        <f t="shared" si="92"/>
        <v>0.355196858144784</v>
      </c>
      <c r="AV124" s="2">
        <f t="shared" si="93"/>
        <v>0.196336513951713</v>
      </c>
      <c r="AW124" s="2">
        <f t="shared" si="94"/>
        <v>0.415196982307927</v>
      </c>
      <c r="AX124" s="2">
        <f t="shared" si="95"/>
        <v>-0.03887755341256</v>
      </c>
      <c r="AY124" s="11">
        <f t="shared" si="96"/>
        <v>1.74815526699707</v>
      </c>
      <c r="AZ124" s="2">
        <f t="shared" si="97"/>
        <v>0.0276585689204839</v>
      </c>
      <c r="BA124" s="1">
        <f t="shared" si="98"/>
        <v>2.71275606089132</v>
      </c>
      <c r="BB124" s="2">
        <f t="shared" si="99"/>
        <v>0.000979794859944852</v>
      </c>
      <c r="BC124" s="1">
        <f t="shared" si="100"/>
        <v>0.516231270852713</v>
      </c>
      <c r="BD124" s="1">
        <f t="shared" si="101"/>
        <v>-0.0326051562992915</v>
      </c>
      <c r="BE124" s="2">
        <f t="shared" si="102"/>
        <v>-0.06238742854776</v>
      </c>
      <c r="BF124" s="1">
        <f t="shared" si="103"/>
        <v>0.187351330771997</v>
      </c>
    </row>
    <row r="125" s="3" customFormat="1" spans="1:58">
      <c r="A125" s="8">
        <v>147.5</v>
      </c>
      <c r="B125" s="9">
        <v>0.159528706256</v>
      </c>
      <c r="C125" s="9">
        <v>0.199774992394</v>
      </c>
      <c r="D125" s="6">
        <v>0.158490394822</v>
      </c>
      <c r="E125" s="10">
        <v>0.26366020271844</v>
      </c>
      <c r="F125" s="9">
        <v>0.21807640506</v>
      </c>
      <c r="G125" s="1">
        <f t="shared" si="52"/>
        <v>1.09161012820817</v>
      </c>
      <c r="H125" s="1">
        <f t="shared" si="53"/>
        <v>0.018301412666</v>
      </c>
      <c r="I125" s="1">
        <f t="shared" si="54"/>
        <v>0.0437988547543741</v>
      </c>
      <c r="J125" s="1">
        <f t="shared" si="55"/>
        <v>-0.768357203910563</v>
      </c>
      <c r="K125" s="1">
        <f t="shared" si="56"/>
        <v>0.0916101282081674</v>
      </c>
      <c r="L125" s="1">
        <f t="shared" si="57"/>
        <v>0.0633436555577519</v>
      </c>
      <c r="M125" s="1">
        <f t="shared" si="58"/>
        <v>0.0299091106416012</v>
      </c>
      <c r="N125" s="1">
        <f t="shared" si="59"/>
        <v>0.0259558244008975</v>
      </c>
      <c r="O125" s="1">
        <f t="shared" si="60"/>
        <v>0.0367389242045572</v>
      </c>
      <c r="P125" s="1">
        <f t="shared" si="61"/>
        <v>0.0283122043500324</v>
      </c>
      <c r="Q125" s="2">
        <f t="shared" si="62"/>
        <v>0.158234900837439</v>
      </c>
      <c r="R125" s="1">
        <f t="shared" si="63"/>
        <v>1.37595975645667</v>
      </c>
      <c r="S125" s="2">
        <f t="shared" si="64"/>
        <v>0.128818577465621</v>
      </c>
      <c r="T125" s="1">
        <f t="shared" si="65"/>
        <v>-0.716568499120995</v>
      </c>
      <c r="U125" s="1">
        <f t="shared" si="66"/>
        <v>0.101964864935601</v>
      </c>
      <c r="V125" s="2">
        <f t="shared" si="67"/>
        <v>0.0884243558868927</v>
      </c>
      <c r="W125" s="2">
        <f t="shared" si="68"/>
        <v>0.059586010238</v>
      </c>
      <c r="X125" s="1">
        <f t="shared" si="69"/>
        <v>0.0971009084473907</v>
      </c>
      <c r="Y125" s="2">
        <f t="shared" si="70"/>
        <v>0.811316769725265</v>
      </c>
      <c r="Z125" s="1">
        <f t="shared" si="71"/>
        <v>0.173013110095819</v>
      </c>
      <c r="AA125" s="1">
        <f t="shared" si="72"/>
        <v>2.49627294805201</v>
      </c>
      <c r="AB125" s="1">
        <f t="shared" si="73"/>
        <v>0.188283399941</v>
      </c>
      <c r="AC125" s="2">
        <f t="shared" si="74"/>
        <v>0.827111573197422</v>
      </c>
      <c r="AD125" s="2">
        <f t="shared" si="75"/>
        <v>-0.04558379765844</v>
      </c>
      <c r="AE125" s="1">
        <f t="shared" si="76"/>
        <v>-0.0946239021955435</v>
      </c>
      <c r="AF125" s="2">
        <f t="shared" si="77"/>
        <v>-0.0656758464835716</v>
      </c>
      <c r="AG125" s="7">
        <f t="shared" si="78"/>
        <v>-0.0696476997454404</v>
      </c>
      <c r="AH125" s="1">
        <f t="shared" si="79"/>
        <v>-18.9815679881358</v>
      </c>
      <c r="AI125" s="1">
        <f t="shared" si="80"/>
        <v>-0.172888426802578</v>
      </c>
      <c r="AJ125" s="1">
        <f t="shared" si="81"/>
        <v>-0.127903782541833</v>
      </c>
      <c r="AK125" s="2">
        <f t="shared" si="82"/>
        <v>-0.0780039769893914</v>
      </c>
      <c r="AL125" s="2">
        <f t="shared" si="83"/>
        <v>-0.0823970530009818</v>
      </c>
      <c r="AM125" s="1">
        <f t="shared" si="84"/>
        <v>1.37595975645667</v>
      </c>
      <c r="AN125" s="1">
        <f t="shared" si="85"/>
        <v>0.10516980789644</v>
      </c>
      <c r="AO125" s="1">
        <f t="shared" si="86"/>
        <v>0.249128648660423</v>
      </c>
      <c r="AP125" s="1">
        <f t="shared" si="87"/>
        <v>1.6635721238158</v>
      </c>
      <c r="AQ125" s="1">
        <f t="shared" si="88"/>
        <v>0.06388521032444</v>
      </c>
      <c r="AR125" s="1">
        <f t="shared" si="89"/>
        <v>0.137851442873129</v>
      </c>
      <c r="AS125" s="1">
        <f t="shared" si="90"/>
        <v>-0.433430454711166</v>
      </c>
      <c r="AT125" s="1">
        <f t="shared" si="91"/>
        <v>0.293135131292632</v>
      </c>
      <c r="AU125" s="2">
        <f t="shared" si="92"/>
        <v>0.3868755904547</v>
      </c>
      <c r="AV125" s="2">
        <f t="shared" si="93"/>
        <v>0.247553436793906</v>
      </c>
      <c r="AW125" s="2">
        <f t="shared" si="94"/>
        <v>0.340623566600954</v>
      </c>
      <c r="AX125" s="2">
        <f t="shared" si="95"/>
        <v>-0.10946900798288</v>
      </c>
      <c r="AY125" s="11">
        <f t="shared" si="96"/>
        <v>3.25581480104526</v>
      </c>
      <c r="AZ125" s="2">
        <f t="shared" si="97"/>
        <v>-0.0875449718847743</v>
      </c>
      <c r="BA125" s="1">
        <f t="shared" si="98"/>
        <v>4.30685888104605</v>
      </c>
      <c r="BB125" s="2">
        <f t="shared" si="99"/>
        <v>-0.0407303486379673</v>
      </c>
      <c r="BC125" s="1">
        <f t="shared" si="100"/>
        <v>0.457575209951298</v>
      </c>
      <c r="BD125" s="1">
        <f t="shared" si="101"/>
        <v>-0.166321960176426</v>
      </c>
      <c r="BE125" s="2">
        <f t="shared" si="102"/>
        <v>-0.16530159673428</v>
      </c>
      <c r="BF125" s="1">
        <f t="shared" si="103"/>
        <v>-2.16041955266179</v>
      </c>
    </row>
    <row r="126" s="3" customFormat="1" spans="1:58">
      <c r="A126" s="8">
        <v>128</v>
      </c>
      <c r="B126" s="9">
        <v>0.150678376643</v>
      </c>
      <c r="C126" s="9">
        <v>0.188467262122</v>
      </c>
      <c r="D126" s="6">
        <v>0.148346543778</v>
      </c>
      <c r="E126" s="10">
        <v>0.25331347465356</v>
      </c>
      <c r="F126" s="9">
        <v>0.212542240582</v>
      </c>
      <c r="G126" s="1">
        <f t="shared" si="52"/>
        <v>1.12774090411743</v>
      </c>
      <c r="H126" s="1">
        <f t="shared" si="53"/>
        <v>0.02407497846</v>
      </c>
      <c r="I126" s="1">
        <f t="shared" si="54"/>
        <v>0.0600359300656539</v>
      </c>
      <c r="J126" s="1">
        <f t="shared" si="55"/>
        <v>-0.761604047106327</v>
      </c>
      <c r="K126" s="1">
        <f t="shared" si="56"/>
        <v>0.127740904117425</v>
      </c>
      <c r="L126" s="1">
        <f t="shared" si="57"/>
        <v>0.0875730779755807</v>
      </c>
      <c r="M126" s="1">
        <f t="shared" si="58"/>
        <v>0.0400800075710896</v>
      </c>
      <c r="N126" s="1">
        <f t="shared" si="59"/>
        <v>0.0346289071140583</v>
      </c>
      <c r="O126" s="1">
        <f t="shared" si="60"/>
        <v>0.0497798609096553</v>
      </c>
      <c r="P126" s="1">
        <f t="shared" si="61"/>
        <v>0.0380179394912019</v>
      </c>
      <c r="Q126" s="2">
        <f t="shared" si="62"/>
        <v>0.177882216311722</v>
      </c>
      <c r="R126" s="1">
        <f t="shared" si="63"/>
        <v>1.43274143885731</v>
      </c>
      <c r="S126" s="2">
        <f t="shared" si="64"/>
        <v>0.142961435393805</v>
      </c>
      <c r="T126" s="1">
        <f t="shared" si="65"/>
        <v>-0.706588066899282</v>
      </c>
      <c r="U126" s="1">
        <f t="shared" si="66"/>
        <v>0.111853641208238</v>
      </c>
      <c r="V126" s="2">
        <f t="shared" si="67"/>
        <v>0.0966485395218115</v>
      </c>
      <c r="W126" s="2">
        <f t="shared" si="68"/>
        <v>0.064195696804</v>
      </c>
      <c r="X126" s="1">
        <f t="shared" si="69"/>
        <v>0.106860997680028</v>
      </c>
      <c r="Y126" s="2">
        <f t="shared" si="70"/>
        <v>0.823336028794879</v>
      </c>
      <c r="Z126" s="1">
        <f t="shared" si="71"/>
        <v>0.196971778638622</v>
      </c>
      <c r="AA126" s="1">
        <f t="shared" si="72"/>
        <v>2.53281749782803</v>
      </c>
      <c r="AB126" s="1">
        <f t="shared" si="73"/>
        <v>0.18044439218</v>
      </c>
      <c r="AC126" s="2">
        <f t="shared" si="74"/>
        <v>0.839048301211295</v>
      </c>
      <c r="AD126" s="2">
        <f t="shared" si="75"/>
        <v>-0.04077123407156</v>
      </c>
      <c r="AE126" s="1">
        <f t="shared" si="76"/>
        <v>-0.0875190165928179</v>
      </c>
      <c r="AF126" s="2">
        <f t="shared" si="77"/>
        <v>-0.0597349002779658</v>
      </c>
      <c r="AG126" s="7">
        <f t="shared" si="78"/>
        <v>-0.0633188271732954</v>
      </c>
      <c r="AH126" s="1">
        <f t="shared" si="79"/>
        <v>-17.5487004194313</v>
      </c>
      <c r="AI126" s="1">
        <f t="shared" si="80"/>
        <v>-0.160951698788705</v>
      </c>
      <c r="AJ126" s="1">
        <f t="shared" si="81"/>
        <v>-0.118685864351787</v>
      </c>
      <c r="AK126" s="2">
        <f t="shared" si="82"/>
        <v>-0.0710392006707407</v>
      </c>
      <c r="AL126" s="2">
        <f t="shared" si="83"/>
        <v>-0.0755679470070971</v>
      </c>
      <c r="AM126" s="1">
        <f t="shared" si="84"/>
        <v>1.43274143885731</v>
      </c>
      <c r="AN126" s="1">
        <f t="shared" si="85"/>
        <v>0.10496693087556</v>
      </c>
      <c r="AO126" s="1">
        <f t="shared" si="86"/>
        <v>0.261332784092987</v>
      </c>
      <c r="AP126" s="1">
        <f t="shared" si="87"/>
        <v>1.7075792141989</v>
      </c>
      <c r="AQ126" s="1">
        <f t="shared" si="88"/>
        <v>0.06484621253156</v>
      </c>
      <c r="AR126" s="1">
        <f t="shared" si="89"/>
        <v>0.146783703166542</v>
      </c>
      <c r="AS126" s="1">
        <f t="shared" si="90"/>
        <v>-0.388419797849429</v>
      </c>
      <c r="AT126" s="1">
        <f t="shared" si="91"/>
        <v>0.288033996426524</v>
      </c>
      <c r="AU126" s="2">
        <f t="shared" si="92"/>
        <v>0.387138284026873</v>
      </c>
      <c r="AV126" s="2">
        <f t="shared" si="93"/>
        <v>0.241527186852507</v>
      </c>
      <c r="AW126" s="2">
        <f t="shared" si="94"/>
        <v>0.346046009214218</v>
      </c>
      <c r="AX126" s="2">
        <f t="shared" si="95"/>
        <v>-0.10561744660312</v>
      </c>
      <c r="AY126" s="11">
        <f t="shared" si="96"/>
        <v>2.66649031111947</v>
      </c>
      <c r="AZ126" s="2">
        <f t="shared" si="97"/>
        <v>-0.0772815573555763</v>
      </c>
      <c r="BA126" s="1">
        <f t="shared" si="98"/>
        <v>3.78046319919789</v>
      </c>
      <c r="BB126" s="2">
        <f t="shared" si="99"/>
        <v>-0.0382490486417428</v>
      </c>
      <c r="BC126" s="1">
        <f t="shared" si="100"/>
        <v>0.448897159342342</v>
      </c>
      <c r="BD126" s="1">
        <f t="shared" si="101"/>
        <v>-0.154631676423763</v>
      </c>
      <c r="BE126" s="2">
        <f t="shared" si="102"/>
        <v>-0.15987066861228</v>
      </c>
      <c r="BF126" s="1">
        <f t="shared" si="103"/>
        <v>-1.45777730930643</v>
      </c>
    </row>
    <row r="127" s="3" customFormat="1" spans="1:58">
      <c r="A127" s="8">
        <v>177</v>
      </c>
      <c r="B127" s="9">
        <v>0.121998321874</v>
      </c>
      <c r="C127" s="9">
        <v>0.165636923233</v>
      </c>
      <c r="D127" s="6">
        <v>0.113424517863</v>
      </c>
      <c r="E127" s="10">
        <v>0.21769300822026</v>
      </c>
      <c r="F127" s="9">
        <v>0.246917550973</v>
      </c>
      <c r="G127" s="1">
        <f t="shared" si="52"/>
        <v>1.49071563364929</v>
      </c>
      <c r="H127" s="1">
        <f t="shared" si="53"/>
        <v>0.08128062774</v>
      </c>
      <c r="I127" s="1">
        <f t="shared" si="54"/>
        <v>0.197017928108602</v>
      </c>
      <c r="J127" s="1">
        <f t="shared" si="55"/>
        <v>-0.696517059583194</v>
      </c>
      <c r="K127" s="1">
        <f t="shared" si="56"/>
        <v>0.490715633649287</v>
      </c>
      <c r="L127" s="1">
        <f t="shared" si="57"/>
        <v>0.310933718712015</v>
      </c>
      <c r="M127" s="1">
        <f t="shared" si="58"/>
        <v>0.13360401494506</v>
      </c>
      <c r="N127" s="1">
        <f t="shared" si="59"/>
        <v>0.118169133502623</v>
      </c>
      <c r="O127" s="1">
        <f t="shared" si="60"/>
        <v>0.16467520982899</v>
      </c>
      <c r="P127" s="1">
        <f t="shared" si="61"/>
        <v>0.126545410318594</v>
      </c>
      <c r="Q127" s="2">
        <f t="shared" si="62"/>
        <v>0.370461971152071</v>
      </c>
      <c r="R127" s="1">
        <f t="shared" si="63"/>
        <v>2.17693277983548</v>
      </c>
      <c r="S127" s="2">
        <f t="shared" si="64"/>
        <v>0.297596384536046</v>
      </c>
      <c r="T127" s="1">
        <f t="shared" si="65"/>
        <v>-0.58575115864899</v>
      </c>
      <c r="U127" s="1">
        <f t="shared" si="66"/>
        <v>0.232744110648819</v>
      </c>
      <c r="V127" s="2">
        <f t="shared" si="67"/>
        <v>0.207566309450832</v>
      </c>
      <c r="W127" s="2">
        <f t="shared" si="68"/>
        <v>0.13349303311</v>
      </c>
      <c r="X127" s="1">
        <f t="shared" si="69"/>
        <v>0.222382760530126</v>
      </c>
      <c r="Y127" s="2">
        <f t="shared" si="70"/>
        <v>0.932985514974413</v>
      </c>
      <c r="Z127" s="1">
        <f t="shared" si="71"/>
        <v>0.475443248598699</v>
      </c>
      <c r="AA127" s="1">
        <f t="shared" si="72"/>
        <v>2.73045270989237</v>
      </c>
      <c r="AB127" s="1">
        <f t="shared" si="73"/>
        <v>0.180171034418</v>
      </c>
      <c r="AC127" s="2">
        <f t="shared" si="74"/>
        <v>1.13424658417679</v>
      </c>
      <c r="AD127" s="2">
        <f t="shared" si="75"/>
        <v>0.02922454275274</v>
      </c>
      <c r="AE127" s="1">
        <f t="shared" si="76"/>
        <v>0.0629011592062929</v>
      </c>
      <c r="AF127" s="2">
        <f t="shared" si="77"/>
        <v>0.0428749066053935</v>
      </c>
      <c r="AG127" s="7">
        <f t="shared" si="78"/>
        <v>0.045445090468191</v>
      </c>
      <c r="AH127" s="1">
        <f t="shared" si="79"/>
        <v>12.596862803154</v>
      </c>
      <c r="AI127" s="1">
        <f t="shared" si="80"/>
        <v>0.134246584176791</v>
      </c>
      <c r="AJ127" s="1">
        <f t="shared" si="81"/>
        <v>0.0918926861301014</v>
      </c>
      <c r="AK127" s="2">
        <f t="shared" si="82"/>
        <v>0.0509527729922809</v>
      </c>
      <c r="AL127" s="2">
        <f t="shared" si="83"/>
        <v>0.0542745701208828</v>
      </c>
      <c r="AM127" s="1">
        <f t="shared" si="84"/>
        <v>2.17693277983548</v>
      </c>
      <c r="AN127" s="1">
        <f t="shared" si="85"/>
        <v>0.10426849035726</v>
      </c>
      <c r="AO127" s="1">
        <f t="shared" si="86"/>
        <v>0.314898735777101</v>
      </c>
      <c r="AP127" s="1">
        <f t="shared" si="87"/>
        <v>1.91927646968886</v>
      </c>
      <c r="AQ127" s="1">
        <f t="shared" si="88"/>
        <v>0.05205608498726</v>
      </c>
      <c r="AR127" s="1">
        <f t="shared" si="89"/>
        <v>0.135799687725683</v>
      </c>
      <c r="AS127" s="1">
        <f t="shared" si="90"/>
        <v>0.280281633047593</v>
      </c>
      <c r="AT127" s="1">
        <f t="shared" si="91"/>
        <v>0.262812510722532</v>
      </c>
      <c r="AU127" s="2">
        <f t="shared" si="92"/>
        <v>0.34540877082477</v>
      </c>
      <c r="AV127" s="2">
        <f t="shared" si="93"/>
        <v>0.1962242818215</v>
      </c>
      <c r="AW127" s="2">
        <f t="shared" si="94"/>
        <v>0.427167071296899</v>
      </c>
      <c r="AX127" s="2">
        <f t="shared" si="95"/>
        <v>-0.02283154223452</v>
      </c>
      <c r="AY127" s="11">
        <f t="shared" si="96"/>
        <v>1.64237207341726</v>
      </c>
      <c r="AZ127" s="2">
        <f t="shared" si="97"/>
        <v>0.0557380459844369</v>
      </c>
      <c r="BA127" s="1">
        <f t="shared" si="98"/>
        <v>2.70366939341109</v>
      </c>
      <c r="BB127" s="2">
        <f t="shared" si="99"/>
        <v>0.0147093829166559</v>
      </c>
      <c r="BC127" s="1">
        <f t="shared" si="100"/>
        <v>0.575761937129933</v>
      </c>
      <c r="BD127" s="1">
        <f t="shared" si="101"/>
        <v>-0.00317478183163006</v>
      </c>
      <c r="BE127" s="2">
        <f t="shared" si="102"/>
        <v>-0.03912415101618</v>
      </c>
      <c r="BF127" s="1">
        <f t="shared" si="103"/>
        <v>0.319266169379366</v>
      </c>
    </row>
    <row r="128" s="2" customFormat="1" spans="1:58">
      <c r="A128" s="5">
        <v>197</v>
      </c>
      <c r="B128" s="6">
        <v>0.0270848470537</v>
      </c>
      <c r="C128" s="6">
        <v>0.0504629100257</v>
      </c>
      <c r="D128" s="6">
        <v>0.0449763649753</v>
      </c>
      <c r="E128" s="6">
        <v>0.151776808234</v>
      </c>
      <c r="F128" s="6">
        <v>0.255348738944</v>
      </c>
      <c r="G128" s="2">
        <f t="shared" si="52"/>
        <v>5.06012710749251</v>
      </c>
      <c r="H128" s="2">
        <f t="shared" si="53"/>
        <v>0.2048858289183</v>
      </c>
      <c r="I128" s="2">
        <f t="shared" si="54"/>
        <v>0.669973918941852</v>
      </c>
      <c r="J128" s="2">
        <f t="shared" si="55"/>
        <v>-0.244388389416036</v>
      </c>
      <c r="K128" s="2">
        <f t="shared" si="56"/>
        <v>4.06012710749251</v>
      </c>
      <c r="L128" s="2">
        <f t="shared" si="57"/>
        <v>1.64929659843486</v>
      </c>
      <c r="M128" s="2">
        <f t="shared" si="58"/>
        <v>0.381390296070299</v>
      </c>
      <c r="N128" s="2">
        <f t="shared" si="59"/>
        <v>0.354374850033898</v>
      </c>
      <c r="O128" s="2">
        <f t="shared" si="60"/>
        <v>0.510222451651671</v>
      </c>
      <c r="P128" s="2">
        <f t="shared" si="61"/>
        <v>0.3704971818193</v>
      </c>
      <c r="Q128" s="2">
        <f t="shared" si="62"/>
        <v>0.700482148256341</v>
      </c>
      <c r="R128" s="2">
        <f t="shared" si="63"/>
        <v>5.67739831985603</v>
      </c>
      <c r="S128" s="2">
        <f t="shared" si="64"/>
        <v>0.530129579564432</v>
      </c>
      <c r="T128" s="2">
        <f t="shared" si="65"/>
        <v>-0.189564333913476</v>
      </c>
      <c r="U128" s="2">
        <f t="shared" si="66"/>
        <v>0.39428797048564</v>
      </c>
      <c r="V128" s="2">
        <f t="shared" si="67"/>
        <v>0.368299685868177</v>
      </c>
      <c r="W128" s="2">
        <f t="shared" si="68"/>
        <v>0.2103723739687</v>
      </c>
      <c r="X128" s="2">
        <f t="shared" si="69"/>
        <v>0.383877705072047</v>
      </c>
      <c r="Y128" s="2">
        <f t="shared" si="70"/>
        <v>1.09566516247271</v>
      </c>
      <c r="Z128" s="2">
        <f t="shared" si="71"/>
        <v>1.38272917467681</v>
      </c>
      <c r="AA128" s="2">
        <f t="shared" si="72"/>
        <v>3.12044054643598</v>
      </c>
      <c r="AB128" s="2">
        <f t="shared" si="73"/>
        <v>0.15016255195965</v>
      </c>
      <c r="AC128" s="2">
        <f t="shared" si="74"/>
        <v>1.68239628909787</v>
      </c>
      <c r="AD128" s="2">
        <f t="shared" si="75"/>
        <v>0.10357193071</v>
      </c>
      <c r="AE128" s="2">
        <f t="shared" si="76"/>
        <v>0.254398014145541</v>
      </c>
      <c r="AF128" s="2">
        <f t="shared" si="77"/>
        <v>0.162322190392576</v>
      </c>
      <c r="AG128" s="7">
        <f t="shared" si="78"/>
        <v>0.171263940860564</v>
      </c>
      <c r="AH128" s="2">
        <f t="shared" si="79"/>
        <v>52.021913968463</v>
      </c>
      <c r="AI128" s="2">
        <f t="shared" si="80"/>
        <v>0.682396289097866</v>
      </c>
      <c r="AJ128" s="2">
        <f t="shared" si="81"/>
        <v>0.416653646098031</v>
      </c>
      <c r="AK128" s="2">
        <f t="shared" si="82"/>
        <v>0.19411848423121</v>
      </c>
      <c r="AL128" s="2">
        <f t="shared" si="83"/>
        <v>0.211846283810402</v>
      </c>
      <c r="AM128" s="2">
        <f t="shared" si="84"/>
        <v>5.67739831985603</v>
      </c>
      <c r="AN128" s="2">
        <f t="shared" si="85"/>
        <v>0.1068004432587</v>
      </c>
      <c r="AO128" s="2">
        <f t="shared" si="86"/>
        <v>0.54281433695145</v>
      </c>
      <c r="AP128" s="2">
        <f t="shared" si="87"/>
        <v>3.37459037246235</v>
      </c>
      <c r="AQ128" s="2">
        <f t="shared" si="88"/>
        <v>0.1013138982083</v>
      </c>
      <c r="AR128" s="2">
        <f t="shared" si="89"/>
        <v>0.500959450893819</v>
      </c>
      <c r="AS128" s="2">
        <f t="shared" si="90"/>
        <v>0.969770607216679</v>
      </c>
      <c r="AT128" s="2">
        <f t="shared" si="91"/>
        <v>0.110280120119455</v>
      </c>
      <c r="AU128" s="2">
        <f t="shared" si="92"/>
        <v>0.331688454646563</v>
      </c>
      <c r="AV128" s="2">
        <f t="shared" si="93"/>
        <v>0.0994828019219907</v>
      </c>
      <c r="AW128" s="2">
        <f t="shared" si="94"/>
        <v>0.564803492486481</v>
      </c>
      <c r="AX128" s="2">
        <f t="shared" si="95"/>
        <v>0.00225803250170001</v>
      </c>
      <c r="AY128" s="7">
        <f t="shared" si="96"/>
        <v>1.02677854822545</v>
      </c>
      <c r="AZ128" s="2">
        <f t="shared" si="97"/>
        <v>0.14485278695201</v>
      </c>
      <c r="BA128" s="2">
        <f t="shared" si="98"/>
        <v>0.667857390600643</v>
      </c>
      <c r="BB128" s="2">
        <f t="shared" si="99"/>
        <v>0.105309200229028</v>
      </c>
      <c r="BC128" s="2">
        <f t="shared" si="100"/>
        <v>0.639075491806339</v>
      </c>
      <c r="BD128" s="2">
        <f t="shared" si="101"/>
        <v>0.0983579713538104</v>
      </c>
      <c r="BE128" s="2">
        <f t="shared" si="102"/>
        <v>-0.00890610098254798</v>
      </c>
      <c r="BF128" s="2">
        <f t="shared" si="103"/>
        <v>0.379713309657388</v>
      </c>
    </row>
    <row r="129" s="2" customFormat="1" spans="1:58">
      <c r="A129" s="5">
        <v>209</v>
      </c>
      <c r="B129" s="6">
        <v>0.0253283324337</v>
      </c>
      <c r="C129" s="6">
        <v>0.0446128253494</v>
      </c>
      <c r="D129" s="6">
        <v>0.0386601244357</v>
      </c>
      <c r="E129" s="6">
        <v>0.144506654482</v>
      </c>
      <c r="F129" s="6">
        <v>0.258103576227</v>
      </c>
      <c r="G129" s="2">
        <f t="shared" si="52"/>
        <v>5.7854120245821</v>
      </c>
      <c r="H129" s="2">
        <f t="shared" si="53"/>
        <v>0.2134907508776</v>
      </c>
      <c r="I129" s="2">
        <f t="shared" si="54"/>
        <v>0.705250028626939</v>
      </c>
      <c r="J129" s="2">
        <f t="shared" si="55"/>
        <v>-0.180463719980811</v>
      </c>
      <c r="K129" s="2">
        <f t="shared" si="56"/>
        <v>4.7854120245821</v>
      </c>
      <c r="L129" s="2">
        <f t="shared" si="57"/>
        <v>1.83709334747264</v>
      </c>
      <c r="M129" s="2">
        <f t="shared" si="58"/>
        <v>0.39894055445673</v>
      </c>
      <c r="N129" s="2">
        <f t="shared" si="59"/>
        <v>0.373734573141467</v>
      </c>
      <c r="O129" s="2">
        <f t="shared" si="60"/>
        <v>0.535207462225923</v>
      </c>
      <c r="P129" s="2">
        <f t="shared" si="61"/>
        <v>0.388026233865719</v>
      </c>
      <c r="Q129" s="2">
        <f t="shared" si="62"/>
        <v>0.739455166859232</v>
      </c>
      <c r="R129" s="2">
        <f t="shared" si="63"/>
        <v>6.67622207621916</v>
      </c>
      <c r="S129" s="2">
        <f t="shared" si="64"/>
        <v>0.557299986204213</v>
      </c>
      <c r="T129" s="2">
        <f t="shared" si="65"/>
        <v>-0.110403753602158</v>
      </c>
      <c r="U129" s="2">
        <f t="shared" si="66"/>
        <v>0.413127728350539</v>
      </c>
      <c r="V129" s="2">
        <f t="shared" si="67"/>
        <v>0.389546757397709</v>
      </c>
      <c r="W129" s="2">
        <f t="shared" si="68"/>
        <v>0.2194434517913</v>
      </c>
      <c r="X129" s="2">
        <f t="shared" si="69"/>
        <v>0.402825761664397</v>
      </c>
      <c r="Y129" s="2">
        <f t="shared" si="70"/>
        <v>1.11330820838581</v>
      </c>
      <c r="Z129" s="2">
        <f t="shared" si="71"/>
        <v>1.58383863200068</v>
      </c>
      <c r="AA129" s="2">
        <f t="shared" si="72"/>
        <v>3.16497138593963</v>
      </c>
      <c r="AB129" s="2">
        <f t="shared" si="73"/>
        <v>0.14838185033135</v>
      </c>
      <c r="AC129" s="2">
        <f t="shared" si="74"/>
        <v>1.7861016653676</v>
      </c>
      <c r="AD129" s="2">
        <f t="shared" si="75"/>
        <v>0.113596921745</v>
      </c>
      <c r="AE129" s="2">
        <f t="shared" si="76"/>
        <v>0.282151105661063</v>
      </c>
      <c r="AF129" s="2">
        <f t="shared" si="77"/>
        <v>0.179029319023575</v>
      </c>
      <c r="AG129" s="7">
        <f t="shared" si="78"/>
        <v>0.188780690513174</v>
      </c>
      <c r="AH129" s="2">
        <f t="shared" si="79"/>
        <v>58.003540433232</v>
      </c>
      <c r="AI129" s="2">
        <f t="shared" si="80"/>
        <v>0.786101665367596</v>
      </c>
      <c r="AJ129" s="2">
        <f t="shared" si="81"/>
        <v>0.470955893949179</v>
      </c>
      <c r="AK129" s="2">
        <f t="shared" si="82"/>
        <v>0.213859369441373</v>
      </c>
      <c r="AL129" s="2">
        <f t="shared" si="83"/>
        <v>0.234216198056229</v>
      </c>
      <c r="AM129" s="2">
        <f t="shared" si="84"/>
        <v>6.67622207621916</v>
      </c>
      <c r="AN129" s="2">
        <f t="shared" si="85"/>
        <v>0.1058465300463</v>
      </c>
      <c r="AO129" s="2">
        <f t="shared" si="86"/>
        <v>0.577869691609627</v>
      </c>
      <c r="AP129" s="2">
        <f t="shared" si="87"/>
        <v>3.73787349604488</v>
      </c>
      <c r="AQ129" s="2">
        <f t="shared" si="88"/>
        <v>0.0998938291326</v>
      </c>
      <c r="AR129" s="2">
        <f t="shared" si="89"/>
        <v>0.52820486404497</v>
      </c>
      <c r="AS129" s="2">
        <f t="shared" si="90"/>
        <v>1.07322291713587</v>
      </c>
      <c r="AT129" s="2">
        <f t="shared" si="91"/>
        <v>0.0997551998830183</v>
      </c>
      <c r="AU129" s="2">
        <f t="shared" si="92"/>
        <v>0.323119867199176</v>
      </c>
      <c r="AV129" s="2">
        <f t="shared" si="93"/>
        <v>0.0876109713353001</v>
      </c>
      <c r="AW129" s="2">
        <f t="shared" si="94"/>
        <v>0.584910300947734</v>
      </c>
      <c r="AX129" s="2">
        <f t="shared" si="95"/>
        <v>0.0137030926124</v>
      </c>
      <c r="AY129" s="7">
        <f t="shared" si="96"/>
        <v>1.0278827110272</v>
      </c>
      <c r="AZ129" s="2">
        <f t="shared" si="97"/>
        <v>0.158606422908155</v>
      </c>
      <c r="BA129" s="2">
        <f t="shared" si="98"/>
        <v>0.647200230583134</v>
      </c>
      <c r="BB129" s="2">
        <f t="shared" si="99"/>
        <v>0.126632413972765</v>
      </c>
      <c r="BC129" s="2">
        <f t="shared" si="100"/>
        <v>0.650436810428118</v>
      </c>
      <c r="BD129" s="2">
        <f t="shared" si="101"/>
        <v>0.105621776415927</v>
      </c>
      <c r="BE129" s="2">
        <f t="shared" si="102"/>
        <v>0.00774519386594394</v>
      </c>
      <c r="BF129" s="2">
        <f t="shared" si="103"/>
        <v>0.400072448363294</v>
      </c>
    </row>
    <row r="130" s="2" customFormat="1" spans="1:58">
      <c r="A130" s="5">
        <v>197</v>
      </c>
      <c r="B130" s="6">
        <v>0.0295700366415</v>
      </c>
      <c r="C130" s="6">
        <v>0.0516909749041</v>
      </c>
      <c r="D130" s="6">
        <v>0.0525516084494</v>
      </c>
      <c r="E130" s="6">
        <v>0.136802114419</v>
      </c>
      <c r="F130" s="6">
        <v>0.210124088532</v>
      </c>
      <c r="G130" s="2">
        <f t="shared" si="52"/>
        <v>4.06500533065654</v>
      </c>
      <c r="H130" s="2">
        <f t="shared" si="53"/>
        <v>0.1584331136279</v>
      </c>
      <c r="I130" s="2">
        <f t="shared" si="54"/>
        <v>0.605133683099055</v>
      </c>
      <c r="J130" s="2">
        <f t="shared" si="55"/>
        <v>-0.344266124547304</v>
      </c>
      <c r="K130" s="2">
        <f t="shared" si="56"/>
        <v>3.06500533065654</v>
      </c>
      <c r="L130" s="2">
        <f t="shared" si="57"/>
        <v>1.36188764751665</v>
      </c>
      <c r="M130" s="2">
        <f t="shared" si="58"/>
        <v>0.311951918317225</v>
      </c>
      <c r="N130" s="2">
        <f t="shared" si="59"/>
        <v>0.277215329256326</v>
      </c>
      <c r="O130" s="2">
        <f t="shared" si="60"/>
        <v>0.435694283440887</v>
      </c>
      <c r="P130" s="2">
        <f t="shared" si="61"/>
        <v>0.309633999383954</v>
      </c>
      <c r="Q130" s="2">
        <f t="shared" si="62"/>
        <v>0.599874605429362</v>
      </c>
      <c r="R130" s="2">
        <f t="shared" si="63"/>
        <v>3.99843305908173</v>
      </c>
      <c r="S130" s="2">
        <f t="shared" si="64"/>
        <v>0.432445201371158</v>
      </c>
      <c r="T130" s="2">
        <f t="shared" si="65"/>
        <v>-0.351523061361094</v>
      </c>
      <c r="U130" s="2">
        <f t="shared" si="66"/>
        <v>0.309907239812919</v>
      </c>
      <c r="V130" s="2">
        <f t="shared" si="67"/>
        <v>0.275231847915771</v>
      </c>
      <c r="W130" s="2">
        <f t="shared" si="68"/>
        <v>0.1575724800826</v>
      </c>
      <c r="X130" s="2">
        <f t="shared" si="69"/>
        <v>0.30744711629169</v>
      </c>
      <c r="Y130" s="2">
        <f t="shared" si="70"/>
        <v>1.04874906695041</v>
      </c>
      <c r="Z130" s="2">
        <f t="shared" si="71"/>
        <v>0.999608226398795</v>
      </c>
      <c r="AA130" s="2">
        <f t="shared" si="72"/>
        <v>3.01266689189291</v>
      </c>
      <c r="AB130" s="2">
        <f t="shared" si="73"/>
        <v>0.1313378484907</v>
      </c>
      <c r="AC130" s="2">
        <f t="shared" si="74"/>
        <v>1.53597105881294</v>
      </c>
      <c r="AD130" s="2">
        <f t="shared" si="75"/>
        <v>0.073321974113</v>
      </c>
      <c r="AE130" s="2">
        <f t="shared" si="76"/>
        <v>0.211347466663843</v>
      </c>
      <c r="AF130" s="2">
        <f t="shared" si="77"/>
        <v>0.124484591333925</v>
      </c>
      <c r="AG130" s="7">
        <f t="shared" si="78"/>
        <v>0.129861327688622</v>
      </c>
      <c r="AH130" s="2">
        <f t="shared" si="79"/>
        <v>42.9162792629308</v>
      </c>
      <c r="AI130" s="2">
        <f t="shared" si="80"/>
        <v>0.535971058812937</v>
      </c>
      <c r="AJ130" s="2">
        <f t="shared" si="81"/>
        <v>0.336565187571816</v>
      </c>
      <c r="AK130" s="2">
        <f t="shared" si="82"/>
        <v>0.144206720634737</v>
      </c>
      <c r="AL130" s="2">
        <f t="shared" si="83"/>
        <v>0.167782784705058</v>
      </c>
      <c r="AM130" s="2">
        <f t="shared" si="84"/>
        <v>3.99843305908173</v>
      </c>
      <c r="AN130" s="2">
        <f t="shared" si="85"/>
        <v>0.0842505059696</v>
      </c>
      <c r="AO130" s="2">
        <f t="shared" si="86"/>
        <v>0.444937150922318</v>
      </c>
      <c r="AP130" s="2">
        <f t="shared" si="87"/>
        <v>2.6031955720389</v>
      </c>
      <c r="AQ130" s="2">
        <f t="shared" si="88"/>
        <v>0.0851111395149</v>
      </c>
      <c r="AR130" s="2">
        <f t="shared" si="89"/>
        <v>0.451534535406808</v>
      </c>
      <c r="AS130" s="2">
        <f t="shared" si="90"/>
        <v>0.870285267360372</v>
      </c>
      <c r="AT130" s="2">
        <f t="shared" si="91"/>
        <v>0.129675733449927</v>
      </c>
      <c r="AU130" s="2">
        <f t="shared" si="92"/>
        <v>0.343191718819324</v>
      </c>
      <c r="AV130" s="2">
        <f t="shared" si="93"/>
        <v>0.131550756887288</v>
      </c>
      <c r="AW130" s="2">
        <f t="shared" si="94"/>
        <v>0.525996895285358</v>
      </c>
      <c r="AX130" s="2">
        <f t="shared" si="95"/>
        <v>-0.0117891654019</v>
      </c>
      <c r="AY130" s="7">
        <f t="shared" si="96"/>
        <v>0.994567843012154</v>
      </c>
      <c r="AZ130" s="2">
        <f t="shared" si="97"/>
        <v>0.111549939087499</v>
      </c>
      <c r="BA130" s="2">
        <f t="shared" si="98"/>
        <v>0.725551605677147</v>
      </c>
      <c r="BB130" s="2">
        <f t="shared" si="99"/>
        <v>0.0639506947545842</v>
      </c>
      <c r="BC130" s="2">
        <f t="shared" si="100"/>
        <v>0.517075168760789</v>
      </c>
      <c r="BD130" s="2">
        <f t="shared" si="101"/>
        <v>0.074749860895649</v>
      </c>
      <c r="BE130" s="2">
        <f t="shared" si="102"/>
        <v>-0.0271897349205241</v>
      </c>
      <c r="BF130" s="2">
        <f t="shared" si="103"/>
        <v>0.349257482382198</v>
      </c>
    </row>
    <row r="131" s="2" customFormat="1" spans="1:58">
      <c r="A131" s="5">
        <v>177</v>
      </c>
      <c r="B131" s="6">
        <v>0.0240557891905</v>
      </c>
      <c r="C131" s="6">
        <v>0.0501208306974</v>
      </c>
      <c r="D131" s="6">
        <v>0.0379433773137</v>
      </c>
      <c r="E131" s="6">
        <v>0.155443314357</v>
      </c>
      <c r="F131" s="6">
        <v>0.245284154985</v>
      </c>
      <c r="G131" s="2">
        <f t="shared" ref="G131:G190" si="104">F131/C131</f>
        <v>4.89385653773141</v>
      </c>
      <c r="H131" s="2">
        <f t="shared" ref="H131:H190" si="105">F131-C131</f>
        <v>0.1951633242876</v>
      </c>
      <c r="I131" s="2">
        <f t="shared" ref="I131:I190" si="106">(F131-C131)/(F131+C131)</f>
        <v>0.660663610117355</v>
      </c>
      <c r="J131" s="2">
        <f t="shared" ref="J131:J190" si="107">(0.12*F131-C131)/(0.12*F131+C131)</f>
        <v>-0.260030802394845</v>
      </c>
      <c r="K131" s="2">
        <f t="shared" ref="K131:K190" si="108">F131/C131-1</f>
        <v>3.89385653773141</v>
      </c>
      <c r="L131" s="2">
        <f t="shared" ref="L131:L190" si="109">(F131/C131-1)/POWER(F131/C131+1,0.5)</f>
        <v>1.60391063264033</v>
      </c>
      <c r="M131" s="2">
        <f t="shared" ref="M131:M190" si="110">1.5*(F131-C131)/(F131+C131+0.5)</f>
        <v>0.368045199239286</v>
      </c>
      <c r="N131" s="2">
        <f t="shared" ref="N131:N190" si="111">0.5*(2*F131+1-POWER(POWER(2*F131+1,2)-8*(F131-C131),0.5))</f>
        <v>0.338932308555695</v>
      </c>
      <c r="O131" s="2">
        <f t="shared" ref="O131:O190" si="112">1.16*(F131-C131)/(F131+C131+0.16)</f>
        <v>0.497116771425731</v>
      </c>
      <c r="P131" s="2">
        <f t="shared" ref="P131:P190" si="113">(F131-C131)/POWER(F131+C131,0.5)</f>
        <v>0.359078412587488</v>
      </c>
      <c r="Q131" s="2">
        <f t="shared" ref="Q131:Q190" si="114">(F131-D131)/(F131+D131)</f>
        <v>0.732064344128213</v>
      </c>
      <c r="R131" s="2">
        <f t="shared" ref="R131:R190" si="115">F131/D131</f>
        <v>6.46447871408739</v>
      </c>
      <c r="S131" s="2">
        <f t="shared" ref="S131:S190" si="116">1.16*(F131-D131)/(F131+D131+0.16)</f>
        <v>0.542645220731955</v>
      </c>
      <c r="T131" s="2">
        <f t="shared" ref="T131:T190" si="117">(0.12*F131-D131)/(0.12*F131+D131)</f>
        <v>-0.126292631184736</v>
      </c>
      <c r="U131" s="2">
        <f t="shared" ref="U131:U190" si="118">1.5*(F131-D131)/(F131+D131+0.5)</f>
        <v>0.397089164618819</v>
      </c>
      <c r="V131" s="2">
        <f t="shared" ref="V131:V190" si="119">(2*F131+1-POWER(POWER(2*F131+1,2)-8*(F131-D131),0.5))/2</f>
        <v>0.370094980928624</v>
      </c>
      <c r="W131" s="2">
        <f t="shared" ref="W131:W190" si="120">F131-D131</f>
        <v>0.2073407776713</v>
      </c>
      <c r="X131" s="2">
        <f t="shared" ref="X131:X190" si="121">(F131-D131)/POWER(F131+D131,0.5)</f>
        <v>0.389598242317613</v>
      </c>
      <c r="Y131" s="2">
        <f t="shared" ref="Y131:Y190" si="122">POWER((F131-D131)/(F131+D131)+0.5,0.5)</f>
        <v>1.10998393868029</v>
      </c>
      <c r="Z131" s="2">
        <f t="shared" ref="Z131:Z190" si="123">(F131/D131-1)/(POWER(F131/D131,0.5)+1)</f>
        <v>1.54253391601516</v>
      </c>
      <c r="AA131" s="2">
        <f t="shared" ref="AA131:AA190" si="124">((1+0.45)*(POWER(F131,2)+1)/(D131+0.45))</f>
        <v>3.15044394630123</v>
      </c>
      <c r="AB131" s="2">
        <f t="shared" ref="AB131:AB190" si="125">(D131+F131)/2</f>
        <v>0.14161376614935</v>
      </c>
      <c r="AC131" s="2">
        <f t="shared" ref="AC131:AC190" si="126">F131/E131</f>
        <v>1.5779652923616</v>
      </c>
      <c r="AD131" s="2">
        <f t="shared" ref="AD131:AD190" si="127">F131-E131</f>
        <v>0.089840840628</v>
      </c>
      <c r="AE131" s="2">
        <f t="shared" ref="AE131:AE190" si="128">(F131-E131)/(F131+E131)</f>
        <v>0.224194365251576</v>
      </c>
      <c r="AF131" s="2">
        <f t="shared" ref="AF131:AF190" si="129">(F131-E131)/POWER(F131+E131,0.5)</f>
        <v>0.141921845528666</v>
      </c>
      <c r="AG131" s="7">
        <f t="shared" ref="AG131:AG190" si="130">1.5*(F131-E131)/(F131+E131+0.5)</f>
        <v>0.149613801653508</v>
      </c>
      <c r="AH131" s="2">
        <f t="shared" ref="AH131:AH190" si="131">100*(LN(F131)-LN(E131))</f>
        <v>45.6136227480657</v>
      </c>
      <c r="AI131" s="2">
        <f t="shared" ref="AI131:AI190" si="132">F131/E131-1</f>
        <v>0.577965292361603</v>
      </c>
      <c r="AJ131" s="2">
        <f t="shared" ref="AJ131:AJ190" si="133">(F131/E131-1)/POWER(F131/E131+1,0.5)</f>
        <v>0.359967445553693</v>
      </c>
      <c r="AK131" s="2">
        <f t="shared" ref="AK131:AK190" si="134">1.5*(F131-E131)/(F131+D131+0.5)</f>
        <v>0.172058891426465</v>
      </c>
      <c r="AL131" s="2">
        <f t="shared" ref="AL131:AL190" si="135">1.16*(F131-E131)/(F131+E131+0.16)</f>
        <v>0.185857445597902</v>
      </c>
      <c r="AM131" s="2">
        <f t="shared" ref="AM131:AM190" si="136">F131/D131</f>
        <v>6.46447871408739</v>
      </c>
      <c r="AN131" s="2">
        <f t="shared" ref="AN131:AN190" si="137">E131-D131</f>
        <v>0.1174999370433</v>
      </c>
      <c r="AO131" s="2">
        <f t="shared" ref="AO131:AO190" si="138">(E131-D131)/(E131+D131)</f>
        <v>0.607590605269672</v>
      </c>
      <c r="AP131" s="2">
        <f t="shared" ref="AP131:AP190" si="139">E131/D131</f>
        <v>4.09671793503935</v>
      </c>
      <c r="AQ131" s="2">
        <f t="shared" ref="AQ131:AQ190" si="140">E131-C131</f>
        <v>0.1053224836596</v>
      </c>
      <c r="AR131" s="2">
        <f t="shared" ref="AR131:AR190" si="141">(E131-C131)/(E131+C131)</f>
        <v>0.512358240449606</v>
      </c>
      <c r="AS131" s="2">
        <f t="shared" ref="AS131:AS190" si="142">(F131-E131)/(E131-D131)</f>
        <v>0.764603308637456</v>
      </c>
      <c r="AT131" s="2">
        <f t="shared" ref="AT131:AT190" si="143">C131/(F131+E131+C131)</f>
        <v>0.111170055854752</v>
      </c>
      <c r="AU131" s="2">
        <f t="shared" ref="AU131:AU190" si="144">E131/(F131+E131+C131)</f>
        <v>0.344779639500505</v>
      </c>
      <c r="AV131" s="2">
        <f t="shared" ref="AV131:AV190" si="145">D131/(F131+E131+D131)</f>
        <v>0.0864962365358203</v>
      </c>
      <c r="AW131" s="2">
        <f t="shared" ref="AW131:AW190" si="146">F131/(F131+E131+D131)</f>
        <v>0.559153079934479</v>
      </c>
      <c r="AX131" s="2">
        <f t="shared" ref="AX131:AX190" si="147">F131-2*E131+C131</f>
        <v>-0.0154816430316</v>
      </c>
      <c r="AY131" s="7">
        <f t="shared" ref="AY131:AY190" si="148">(F131-D131)/(F131-C131)</f>
        <v>1.06239621828615</v>
      </c>
      <c r="AZ131" s="2">
        <f t="shared" ref="AZ131:AZ190" si="149">2.5*(F131-E131)/(F131+6*E131-7.5*C131+1)</f>
        <v>0.124637840677861</v>
      </c>
      <c r="BA131" s="2">
        <f t="shared" ref="BA131:BA190" si="150">(F131-(E131-2*C131))/(F131+(E131-2*C131))</f>
        <v>0.632583959027444</v>
      </c>
      <c r="BB131" s="2">
        <f t="shared" ref="BB131:BB190" si="151">(F131-E131-0.2*(F131-C131))*F131/E131</f>
        <v>0.0801735379340251</v>
      </c>
      <c r="BC131" s="2">
        <f t="shared" ref="BC131:BC190" si="152">1.5*(2.5*F131-E131)-1.3*(F131-E131)/POWER(POWER((2*F131+1),2)-(6*F131-5*POWER(E131,0.5))-0.5,0.5)</f>
        <v>0.608288992875053</v>
      </c>
      <c r="BD131" s="2">
        <f t="shared" ref="BD131:BD190" si="153">3*(F131-E131-0.2*(F131-D131)*F131/E131)</f>
        <v>0.073216591370055</v>
      </c>
      <c r="BE131" s="2">
        <f t="shared" ref="BE131:BE190" si="154">1.2*(1.2*(F131-C131)-2.5*(E131-C131))</f>
        <v>-0.0349322640046561</v>
      </c>
      <c r="BF131" s="2">
        <f t="shared" ref="BF131:BF190" si="155">(F131-E131)/(F131+E131)/((F131-C131)/(F131+C131))</f>
        <v>0.339347228783725</v>
      </c>
    </row>
    <row r="132" s="2" customFormat="1" spans="1:58">
      <c r="A132" s="5">
        <v>178.5</v>
      </c>
      <c r="B132" s="6">
        <v>0.0238580016856</v>
      </c>
      <c r="C132" s="6">
        <v>0.0480096279072</v>
      </c>
      <c r="D132" s="6">
        <v>0.0361415024867</v>
      </c>
      <c r="E132" s="6">
        <v>0.154498692085</v>
      </c>
      <c r="F132" s="6">
        <v>0.251208626518</v>
      </c>
      <c r="G132" s="2">
        <f t="shared" si="104"/>
        <v>5.23246351760052</v>
      </c>
      <c r="H132" s="2">
        <f t="shared" si="105"/>
        <v>0.2031989986108</v>
      </c>
      <c r="I132" s="2">
        <f t="shared" si="106"/>
        <v>0.679099605741456</v>
      </c>
      <c r="J132" s="2">
        <f t="shared" si="107"/>
        <v>-0.228579997902545</v>
      </c>
      <c r="K132" s="2">
        <f t="shared" si="108"/>
        <v>4.23246351760052</v>
      </c>
      <c r="L132" s="2">
        <f t="shared" si="109"/>
        <v>1.69536553761058</v>
      </c>
      <c r="M132" s="2">
        <f t="shared" si="110"/>
        <v>0.381370791055582</v>
      </c>
      <c r="N132" s="2">
        <f t="shared" si="111"/>
        <v>0.35382165726327</v>
      </c>
      <c r="O132" s="2">
        <f t="shared" si="112"/>
        <v>0.513287170353377</v>
      </c>
      <c r="P132" s="2">
        <f t="shared" si="113"/>
        <v>0.371473228973035</v>
      </c>
      <c r="Q132" s="2">
        <f t="shared" si="114"/>
        <v>0.748449721516507</v>
      </c>
      <c r="R132" s="2">
        <f t="shared" si="115"/>
        <v>6.9506968231452</v>
      </c>
      <c r="S132" s="2">
        <f t="shared" si="116"/>
        <v>0.557679204052911</v>
      </c>
      <c r="T132" s="2">
        <f t="shared" si="117"/>
        <v>-0.0904628227000761</v>
      </c>
      <c r="U132" s="2">
        <f t="shared" si="118"/>
        <v>0.409729641442688</v>
      </c>
      <c r="V132" s="2">
        <f t="shared" si="119"/>
        <v>0.384902535260347</v>
      </c>
      <c r="W132" s="2">
        <f t="shared" si="120"/>
        <v>0.2150671240313</v>
      </c>
      <c r="X132" s="2">
        <f t="shared" si="121"/>
        <v>0.401206840779893</v>
      </c>
      <c r="Y132" s="2">
        <f t="shared" si="122"/>
        <v>1.11734046803851</v>
      </c>
      <c r="Z132" s="2">
        <f t="shared" si="123"/>
        <v>1.63641742202277</v>
      </c>
      <c r="AA132" s="2">
        <f t="shared" si="124"/>
        <v>3.17089440927934</v>
      </c>
      <c r="AB132" s="2">
        <f t="shared" si="125"/>
        <v>0.14367506450235</v>
      </c>
      <c r="AC132" s="2">
        <f t="shared" si="126"/>
        <v>1.62595956721623</v>
      </c>
      <c r="AD132" s="2">
        <f t="shared" si="127"/>
        <v>0.096709934433</v>
      </c>
      <c r="AE132" s="2">
        <f t="shared" si="128"/>
        <v>0.238373650162408</v>
      </c>
      <c r="AF132" s="2">
        <f t="shared" si="129"/>
        <v>0.151832473726016</v>
      </c>
      <c r="AG132" s="7">
        <f t="shared" si="130"/>
        <v>0.160167527268361</v>
      </c>
      <c r="AH132" s="2">
        <f t="shared" si="131"/>
        <v>48.6098144405762</v>
      </c>
      <c r="AI132" s="2">
        <f t="shared" si="132"/>
        <v>0.625959567216229</v>
      </c>
      <c r="AJ132" s="2">
        <f t="shared" si="133"/>
        <v>0.386280036879223</v>
      </c>
      <c r="AK132" s="2">
        <f t="shared" si="134"/>
        <v>0.184244462921316</v>
      </c>
      <c r="AL132" s="2">
        <f t="shared" si="135"/>
        <v>0.198306651254423</v>
      </c>
      <c r="AM132" s="2">
        <f t="shared" si="136"/>
        <v>6.9506968231452</v>
      </c>
      <c r="AN132" s="2">
        <f t="shared" si="137"/>
        <v>0.1183571895983</v>
      </c>
      <c r="AO132" s="2">
        <f t="shared" si="138"/>
        <v>0.620840688209567</v>
      </c>
      <c r="AP132" s="2">
        <f t="shared" si="139"/>
        <v>4.27482759306576</v>
      </c>
      <c r="AQ132" s="2">
        <f t="shared" si="140"/>
        <v>0.1064890641778</v>
      </c>
      <c r="AR132" s="2">
        <f t="shared" si="141"/>
        <v>0.5258503165791</v>
      </c>
      <c r="AS132" s="2">
        <f t="shared" si="142"/>
        <v>0.817102321888768</v>
      </c>
      <c r="AT132" s="2">
        <f t="shared" si="143"/>
        <v>0.105814050536287</v>
      </c>
      <c r="AU132" s="2">
        <f t="shared" si="144"/>
        <v>0.340517790383055</v>
      </c>
      <c r="AV132" s="2">
        <f t="shared" si="145"/>
        <v>0.0817960821929247</v>
      </c>
      <c r="AW132" s="2">
        <f t="shared" si="146"/>
        <v>0.568539768644086</v>
      </c>
      <c r="AX132" s="2">
        <f t="shared" si="147"/>
        <v>-0.00977912974479998</v>
      </c>
      <c r="AY132" s="7">
        <f t="shared" si="148"/>
        <v>1.05840641687035</v>
      </c>
      <c r="AZ132" s="2">
        <f t="shared" si="149"/>
        <v>0.132980054385924</v>
      </c>
      <c r="BA132" s="2">
        <f t="shared" si="150"/>
        <v>0.622333287605474</v>
      </c>
      <c r="BB132" s="2">
        <f t="shared" si="151"/>
        <v>0.0911677719681931</v>
      </c>
      <c r="BC132" s="2">
        <f t="shared" si="152"/>
        <v>0.625815570863965</v>
      </c>
      <c r="BD132" s="2">
        <f t="shared" si="153"/>
        <v>0.0803155345515771</v>
      </c>
      <c r="BE132" s="2">
        <f t="shared" si="154"/>
        <v>-0.026860634533848</v>
      </c>
      <c r="BF132" s="2">
        <f t="shared" si="155"/>
        <v>0.351014266754206</v>
      </c>
    </row>
    <row r="133" s="2" customFormat="1" spans="1:58">
      <c r="A133" s="5">
        <v>189.5</v>
      </c>
      <c r="B133" s="6">
        <v>0.0232142440654</v>
      </c>
      <c r="C133" s="6">
        <v>0.0471577642409</v>
      </c>
      <c r="D133" s="6">
        <v>0.0341969991878</v>
      </c>
      <c r="E133" s="6">
        <v>0.153598768986</v>
      </c>
      <c r="F133" s="6">
        <v>0.253298689154</v>
      </c>
      <c r="G133" s="2">
        <f t="shared" si="104"/>
        <v>5.37130403087078</v>
      </c>
      <c r="H133" s="2">
        <f t="shared" si="105"/>
        <v>0.2061409249131</v>
      </c>
      <c r="I133" s="2">
        <f t="shared" si="106"/>
        <v>0.686092518845525</v>
      </c>
      <c r="J133" s="2">
        <f t="shared" si="107"/>
        <v>-0.216133358639554</v>
      </c>
      <c r="K133" s="2">
        <f t="shared" si="108"/>
        <v>4.37130403087078</v>
      </c>
      <c r="L133" s="2">
        <f t="shared" si="109"/>
        <v>1.73179646413189</v>
      </c>
      <c r="M133" s="2">
        <f t="shared" si="110"/>
        <v>0.386293827800652</v>
      </c>
      <c r="N133" s="2">
        <f t="shared" si="111"/>
        <v>0.359373486539424</v>
      </c>
      <c r="O133" s="2">
        <f t="shared" si="112"/>
        <v>0.51931832236504</v>
      </c>
      <c r="P133" s="2">
        <f t="shared" si="113"/>
        <v>0.37607412355914</v>
      </c>
      <c r="Q133" s="2">
        <f t="shared" si="114"/>
        <v>0.762104263997562</v>
      </c>
      <c r="R133" s="2">
        <f t="shared" si="115"/>
        <v>7.40704433634534</v>
      </c>
      <c r="S133" s="2">
        <f t="shared" si="116"/>
        <v>0.567956221662329</v>
      </c>
      <c r="T133" s="2">
        <f t="shared" si="117"/>
        <v>-0.0588479524714548</v>
      </c>
      <c r="U133" s="2">
        <f t="shared" si="118"/>
        <v>0.417338837297422</v>
      </c>
      <c r="V133" s="2">
        <f t="shared" si="119"/>
        <v>0.39377743088304</v>
      </c>
      <c r="W133" s="2">
        <f t="shared" si="120"/>
        <v>0.2191016899662</v>
      </c>
      <c r="X133" s="2">
        <f t="shared" si="121"/>
        <v>0.408629822911046</v>
      </c>
      <c r="Y133" s="2">
        <f t="shared" si="122"/>
        <v>1.12343413870042</v>
      </c>
      <c r="Z133" s="2">
        <f t="shared" si="123"/>
        <v>1.72158856852856</v>
      </c>
      <c r="AA133" s="2">
        <f t="shared" si="124"/>
        <v>3.18678622581853</v>
      </c>
      <c r="AB133" s="2">
        <f t="shared" si="125"/>
        <v>0.1437478441709</v>
      </c>
      <c r="AC133" s="2">
        <f t="shared" si="126"/>
        <v>1.64909322402895</v>
      </c>
      <c r="AD133" s="2">
        <f t="shared" si="127"/>
        <v>0.099699920168</v>
      </c>
      <c r="AE133" s="2">
        <f t="shared" si="128"/>
        <v>0.245024681706654</v>
      </c>
      <c r="AF133" s="2">
        <f t="shared" si="129"/>
        <v>0.156297604605263</v>
      </c>
      <c r="AG133" s="7">
        <f t="shared" si="130"/>
        <v>0.164902744968234</v>
      </c>
      <c r="AH133" s="2">
        <f t="shared" si="131"/>
        <v>50.0225575653809</v>
      </c>
      <c r="AI133" s="2">
        <f t="shared" si="132"/>
        <v>0.649093224028946</v>
      </c>
      <c r="AJ133" s="2">
        <f t="shared" si="133"/>
        <v>0.398803034862623</v>
      </c>
      <c r="AK133" s="2">
        <f t="shared" si="134"/>
        <v>0.189905649600319</v>
      </c>
      <c r="AL133" s="2">
        <f t="shared" si="135"/>
        <v>0.204008512887561</v>
      </c>
      <c r="AM133" s="2">
        <f t="shared" si="136"/>
        <v>7.40704433634534</v>
      </c>
      <c r="AN133" s="2">
        <f t="shared" si="137"/>
        <v>0.1194017697982</v>
      </c>
      <c r="AO133" s="2">
        <f t="shared" si="138"/>
        <v>0.635806498513304</v>
      </c>
      <c r="AP133" s="2">
        <f t="shared" si="139"/>
        <v>4.49158618107045</v>
      </c>
      <c r="AQ133" s="2">
        <f t="shared" si="140"/>
        <v>0.1064410047451</v>
      </c>
      <c r="AR133" s="2">
        <f t="shared" si="141"/>
        <v>0.530199456198009</v>
      </c>
      <c r="AS133" s="2">
        <f t="shared" si="142"/>
        <v>0.834995329939431</v>
      </c>
      <c r="AT133" s="2">
        <f t="shared" si="143"/>
        <v>0.103859094481112</v>
      </c>
      <c r="AU133" s="2">
        <f t="shared" si="144"/>
        <v>0.338282132689905</v>
      </c>
      <c r="AV133" s="2">
        <f t="shared" si="145"/>
        <v>0.0775276102877585</v>
      </c>
      <c r="AW133" s="2">
        <f t="shared" si="146"/>
        <v>0.57425044669233</v>
      </c>
      <c r="AX133" s="2">
        <f t="shared" si="147"/>
        <v>-0.0067410845771</v>
      </c>
      <c r="AY133" s="7">
        <f t="shared" si="148"/>
        <v>1.06287332347307</v>
      </c>
      <c r="AZ133" s="2">
        <f t="shared" si="149"/>
        <v>0.136859595755642</v>
      </c>
      <c r="BA133" s="2">
        <f t="shared" si="150"/>
        <v>0.620686707200095</v>
      </c>
      <c r="BB133" s="2">
        <f t="shared" si="151"/>
        <v>0.0964253422914251</v>
      </c>
      <c r="BC133" s="2">
        <f t="shared" si="152"/>
        <v>0.632279530643088</v>
      </c>
      <c r="BD133" s="2">
        <f t="shared" si="153"/>
        <v>0.0823082931260692</v>
      </c>
      <c r="BE133" s="2">
        <f t="shared" si="154"/>
        <v>-0.0224800823604361</v>
      </c>
      <c r="BF133" s="2">
        <f t="shared" si="155"/>
        <v>0.357130671121371</v>
      </c>
    </row>
    <row r="134" s="2" customFormat="1" spans="1:58">
      <c r="A134" s="5">
        <v>176</v>
      </c>
      <c r="B134" s="6">
        <v>0.0251444510771</v>
      </c>
      <c r="C134" s="6">
        <v>0.0473388623525</v>
      </c>
      <c r="D134" s="6">
        <v>0.0405788038432</v>
      </c>
      <c r="E134" s="6">
        <v>0.136459591184</v>
      </c>
      <c r="F134" s="6">
        <v>0.209948077947</v>
      </c>
      <c r="G134" s="2">
        <f t="shared" si="104"/>
        <v>4.43500471945567</v>
      </c>
      <c r="H134" s="2">
        <f t="shared" si="105"/>
        <v>0.1626092155945</v>
      </c>
      <c r="I134" s="2">
        <f t="shared" si="106"/>
        <v>0.632015038949165</v>
      </c>
      <c r="J134" s="2">
        <f t="shared" si="107"/>
        <v>-0.3053121399011</v>
      </c>
      <c r="K134" s="2">
        <f t="shared" si="108"/>
        <v>3.43500471945567</v>
      </c>
      <c r="L134" s="2">
        <f t="shared" si="109"/>
        <v>1.47342276402849</v>
      </c>
      <c r="M134" s="2">
        <f t="shared" si="110"/>
        <v>0.322089039717606</v>
      </c>
      <c r="N134" s="2">
        <f t="shared" si="111"/>
        <v>0.287091314737944</v>
      </c>
      <c r="O134" s="2">
        <f t="shared" si="112"/>
        <v>0.452031137025848</v>
      </c>
      <c r="P134" s="2">
        <f t="shared" si="113"/>
        <v>0.320579896012603</v>
      </c>
      <c r="Q134" s="2">
        <f t="shared" si="114"/>
        <v>0.676052297835391</v>
      </c>
      <c r="R134" s="2">
        <f t="shared" si="115"/>
        <v>5.17383604401592</v>
      </c>
      <c r="S134" s="2">
        <f t="shared" si="116"/>
        <v>0.478576109568419</v>
      </c>
      <c r="T134" s="2">
        <f t="shared" si="117"/>
        <v>-0.233912613446286</v>
      </c>
      <c r="U134" s="2">
        <f t="shared" si="118"/>
        <v>0.338500748367222</v>
      </c>
      <c r="V134" s="2">
        <f t="shared" si="119"/>
        <v>0.303392146772654</v>
      </c>
      <c r="W134" s="2">
        <f t="shared" si="120"/>
        <v>0.1693692741038</v>
      </c>
      <c r="X134" s="2">
        <f t="shared" si="121"/>
        <v>0.338382161085046</v>
      </c>
      <c r="Y134" s="2">
        <f t="shared" si="122"/>
        <v>1.08445944960399</v>
      </c>
      <c r="Z134" s="2">
        <f t="shared" si="123"/>
        <v>1.27460678887933</v>
      </c>
      <c r="AA134" s="2">
        <f t="shared" si="124"/>
        <v>3.08597389760577</v>
      </c>
      <c r="AB134" s="2">
        <f t="shared" si="125"/>
        <v>0.1252634408951</v>
      </c>
      <c r="AC134" s="2">
        <f t="shared" si="126"/>
        <v>1.53853661824261</v>
      </c>
      <c r="AD134" s="2">
        <f t="shared" si="127"/>
        <v>0.073488486763</v>
      </c>
      <c r="AE134" s="2">
        <f t="shared" si="128"/>
        <v>0.212144514431085</v>
      </c>
      <c r="AF134" s="2">
        <f t="shared" si="129"/>
        <v>0.124860639677249</v>
      </c>
      <c r="AG134" s="7">
        <f t="shared" si="130"/>
        <v>0.130235977490227</v>
      </c>
      <c r="AH134" s="2">
        <f t="shared" si="131"/>
        <v>43.0831716759377</v>
      </c>
      <c r="AI134" s="2">
        <f t="shared" si="132"/>
        <v>0.538536618242607</v>
      </c>
      <c r="AJ134" s="2">
        <f t="shared" si="133"/>
        <v>0.338005309692668</v>
      </c>
      <c r="AK134" s="2">
        <f t="shared" si="134"/>
        <v>0.14687379335643</v>
      </c>
      <c r="AL134" s="2">
        <f t="shared" si="135"/>
        <v>0.168336006426135</v>
      </c>
      <c r="AM134" s="2">
        <f t="shared" si="136"/>
        <v>5.17383604401592</v>
      </c>
      <c r="AN134" s="2">
        <f t="shared" si="137"/>
        <v>0.0958807873408</v>
      </c>
      <c r="AO134" s="2">
        <f t="shared" si="138"/>
        <v>0.541581882992494</v>
      </c>
      <c r="AP134" s="2">
        <f t="shared" si="139"/>
        <v>3.36282931629261</v>
      </c>
      <c r="AQ134" s="2">
        <f t="shared" si="140"/>
        <v>0.0891207288315</v>
      </c>
      <c r="AR134" s="2">
        <f t="shared" si="141"/>
        <v>0.48488290905996</v>
      </c>
      <c r="AS134" s="2">
        <f t="shared" si="142"/>
        <v>0.766456855446874</v>
      </c>
      <c r="AT134" s="2">
        <f t="shared" si="143"/>
        <v>0.120226741234122</v>
      </c>
      <c r="AU134" s="2">
        <f t="shared" si="144"/>
        <v>0.346567093987769</v>
      </c>
      <c r="AV134" s="2">
        <f t="shared" si="145"/>
        <v>0.104858455468301</v>
      </c>
      <c r="AW134" s="2">
        <f t="shared" si="146"/>
        <v>0.542520456421734</v>
      </c>
      <c r="AX134" s="2">
        <f t="shared" si="147"/>
        <v>-0.0156322420685</v>
      </c>
      <c r="AY134" s="7">
        <f t="shared" si="148"/>
        <v>1.04157241940185</v>
      </c>
      <c r="AZ134" s="2">
        <f t="shared" si="149"/>
        <v>0.109771853626901</v>
      </c>
      <c r="BA134" s="2">
        <f t="shared" si="150"/>
        <v>0.668042142747285</v>
      </c>
      <c r="BB134" s="2">
        <f t="shared" si="151"/>
        <v>0.0630286813729436</v>
      </c>
      <c r="BC134" s="2">
        <f t="shared" si="152"/>
        <v>0.516744375919668</v>
      </c>
      <c r="BD134" s="2">
        <f t="shared" si="153"/>
        <v>0.0641169621606806</v>
      </c>
      <c r="BE134" s="2">
        <f t="shared" si="154"/>
        <v>-0.0332049160384201</v>
      </c>
      <c r="BF134" s="2">
        <f t="shared" si="155"/>
        <v>0.335663712660718</v>
      </c>
    </row>
    <row r="135" s="2" customFormat="1" spans="1:58">
      <c r="A135" s="5">
        <v>172</v>
      </c>
      <c r="B135" s="6">
        <v>0.0244675484457</v>
      </c>
      <c r="C135" s="6">
        <v>0.0471795482405</v>
      </c>
      <c r="D135" s="6">
        <v>0.0386099408247</v>
      </c>
      <c r="E135" s="6">
        <v>0.139585958584</v>
      </c>
      <c r="F135" s="6">
        <v>0.216599703298</v>
      </c>
      <c r="G135" s="2">
        <f t="shared" si="104"/>
        <v>4.59096603032044</v>
      </c>
      <c r="H135" s="2">
        <f t="shared" si="105"/>
        <v>0.1694201550575</v>
      </c>
      <c r="I135" s="2">
        <f t="shared" si="106"/>
        <v>0.642280065885971</v>
      </c>
      <c r="J135" s="2">
        <f t="shared" si="107"/>
        <v>-0.28956055548646</v>
      </c>
      <c r="K135" s="2">
        <f t="shared" si="108"/>
        <v>3.59096603032044</v>
      </c>
      <c r="L135" s="2">
        <f t="shared" si="109"/>
        <v>1.51868558251815</v>
      </c>
      <c r="M135" s="2">
        <f t="shared" si="110"/>
        <v>0.332727331980214</v>
      </c>
      <c r="N135" s="2">
        <f t="shared" si="111"/>
        <v>0.298658529624262</v>
      </c>
      <c r="O135" s="2">
        <f t="shared" si="112"/>
        <v>0.46374941470877</v>
      </c>
      <c r="P135" s="2">
        <f t="shared" si="113"/>
        <v>0.329871472474876</v>
      </c>
      <c r="Q135" s="2">
        <f t="shared" si="114"/>
        <v>0.697425691278837</v>
      </c>
      <c r="R135" s="2">
        <f t="shared" si="115"/>
        <v>5.60994652339468</v>
      </c>
      <c r="S135" s="2">
        <f t="shared" si="116"/>
        <v>0.497262352624964</v>
      </c>
      <c r="T135" s="2">
        <f t="shared" si="117"/>
        <v>-0.195318952063101</v>
      </c>
      <c r="U135" s="2">
        <f t="shared" si="118"/>
        <v>0.353523880140721</v>
      </c>
      <c r="V135" s="2">
        <f t="shared" si="119"/>
        <v>0.319692145017509</v>
      </c>
      <c r="W135" s="2">
        <f t="shared" si="120"/>
        <v>0.1779897624733</v>
      </c>
      <c r="X135" s="2">
        <f t="shared" si="121"/>
        <v>0.352327451575232</v>
      </c>
      <c r="Y135" s="2">
        <f t="shared" si="122"/>
        <v>1.09426947836392</v>
      </c>
      <c r="Z135" s="2">
        <f t="shared" si="123"/>
        <v>1.36853256751827</v>
      </c>
      <c r="AA135" s="2">
        <f t="shared" si="124"/>
        <v>3.1068286761983</v>
      </c>
      <c r="AB135" s="2">
        <f t="shared" si="125"/>
        <v>0.12760482206135</v>
      </c>
      <c r="AC135" s="2">
        <f t="shared" si="126"/>
        <v>1.55172988383108</v>
      </c>
      <c r="AD135" s="2">
        <f t="shared" si="127"/>
        <v>0.077013744714</v>
      </c>
      <c r="AE135" s="2">
        <f t="shared" si="128"/>
        <v>0.216217981114337</v>
      </c>
      <c r="AF135" s="2">
        <f t="shared" si="129"/>
        <v>0.129041684738367</v>
      </c>
      <c r="AG135" s="7">
        <f t="shared" si="130"/>
        <v>0.134924727444129</v>
      </c>
      <c r="AH135" s="2">
        <f t="shared" si="131"/>
        <v>43.9370362690352</v>
      </c>
      <c r="AI135" s="2">
        <f t="shared" si="132"/>
        <v>0.551729883831078</v>
      </c>
      <c r="AJ135" s="2">
        <f t="shared" si="133"/>
        <v>0.345389521558491</v>
      </c>
      <c r="AK135" s="2">
        <f t="shared" si="134"/>
        <v>0.152964965384143</v>
      </c>
      <c r="AL135" s="2">
        <f t="shared" si="135"/>
        <v>0.173069402087852</v>
      </c>
      <c r="AM135" s="2">
        <f t="shared" si="136"/>
        <v>5.60994652339468</v>
      </c>
      <c r="AN135" s="2">
        <f t="shared" si="137"/>
        <v>0.1009760177593</v>
      </c>
      <c r="AO135" s="2">
        <f t="shared" si="138"/>
        <v>0.566657359088309</v>
      </c>
      <c r="AP135" s="2">
        <f t="shared" si="139"/>
        <v>3.6152854835432</v>
      </c>
      <c r="AQ135" s="2">
        <f t="shared" si="140"/>
        <v>0.0924064103435</v>
      </c>
      <c r="AR135" s="2">
        <f t="shared" si="141"/>
        <v>0.49477235874359</v>
      </c>
      <c r="AS135" s="2">
        <f t="shared" si="142"/>
        <v>0.762693423873977</v>
      </c>
      <c r="AT135" s="2">
        <f t="shared" si="143"/>
        <v>0.116964842422012</v>
      </c>
      <c r="AU135" s="2">
        <f t="shared" si="144"/>
        <v>0.346053539276747</v>
      </c>
      <c r="AV135" s="2">
        <f t="shared" si="145"/>
        <v>0.0977972919657465</v>
      </c>
      <c r="AW135" s="2">
        <f t="shared" si="146"/>
        <v>0.548637578060654</v>
      </c>
      <c r="AX135" s="2">
        <f t="shared" si="147"/>
        <v>-0.0153926656295</v>
      </c>
      <c r="AY135" s="7">
        <f t="shared" si="148"/>
        <v>1.05058198307569</v>
      </c>
      <c r="AZ135" s="2">
        <f t="shared" si="149"/>
        <v>0.113237599205479</v>
      </c>
      <c r="BA135" s="2">
        <f t="shared" si="150"/>
        <v>0.65452808782995</v>
      </c>
      <c r="BB135" s="2">
        <f t="shared" si="151"/>
        <v>0.066925665633248</v>
      </c>
      <c r="BC135" s="2">
        <f t="shared" si="152"/>
        <v>0.534149587498635</v>
      </c>
      <c r="BD135" s="2">
        <f t="shared" si="153"/>
        <v>0.065326014074511</v>
      </c>
      <c r="BE135" s="2">
        <f t="shared" si="154"/>
        <v>-0.0332542077477</v>
      </c>
      <c r="BF135" s="2">
        <f t="shared" si="155"/>
        <v>0.336641276288223</v>
      </c>
    </row>
    <row r="136" s="2" customFormat="1" spans="1:58">
      <c r="A136" s="5">
        <v>184</v>
      </c>
      <c r="B136" s="6">
        <v>0.0245730189076</v>
      </c>
      <c r="C136" s="6">
        <v>0.0468005495007</v>
      </c>
      <c r="D136" s="6">
        <v>0.0388785078584</v>
      </c>
      <c r="E136" s="6">
        <v>0.138247262128</v>
      </c>
      <c r="F136" s="6">
        <v>0.216514547419</v>
      </c>
      <c r="G136" s="2">
        <f t="shared" si="104"/>
        <v>4.62632489850918</v>
      </c>
      <c r="H136" s="2">
        <f t="shared" si="105"/>
        <v>0.1697139979183</v>
      </c>
      <c r="I136" s="2">
        <f t="shared" si="106"/>
        <v>0.644528171394805</v>
      </c>
      <c r="J136" s="2">
        <f t="shared" si="107"/>
        <v>-0.286042144669822</v>
      </c>
      <c r="K136" s="2">
        <f t="shared" si="108"/>
        <v>3.62632489850918</v>
      </c>
      <c r="L136" s="2">
        <f t="shared" si="109"/>
        <v>1.52881279289505</v>
      </c>
      <c r="M136" s="2">
        <f t="shared" si="110"/>
        <v>0.333507090197419</v>
      </c>
      <c r="N136" s="2">
        <f t="shared" si="111"/>
        <v>0.299423309406914</v>
      </c>
      <c r="O136" s="2">
        <f t="shared" si="112"/>
        <v>0.465063114965098</v>
      </c>
      <c r="P136" s="2">
        <f t="shared" si="113"/>
        <v>0.330734716560544</v>
      </c>
      <c r="Q136" s="2">
        <f t="shared" si="114"/>
        <v>0.695539819466341</v>
      </c>
      <c r="R136" s="2">
        <f t="shared" si="115"/>
        <v>5.56900352779924</v>
      </c>
      <c r="S136" s="2">
        <f t="shared" si="116"/>
        <v>0.496055009279561</v>
      </c>
      <c r="T136" s="2">
        <f t="shared" si="117"/>
        <v>-0.198839219128869</v>
      </c>
      <c r="U136" s="2">
        <f t="shared" si="118"/>
        <v>0.352735648652543</v>
      </c>
      <c r="V136" s="2">
        <f t="shared" si="119"/>
        <v>0.318870211935827</v>
      </c>
      <c r="W136" s="2">
        <f t="shared" si="120"/>
        <v>0.1776360395606</v>
      </c>
      <c r="X136" s="2">
        <f t="shared" si="121"/>
        <v>0.35150097992281</v>
      </c>
      <c r="Y136" s="2">
        <f t="shared" si="122"/>
        <v>1.09340743525291</v>
      </c>
      <c r="Z136" s="2">
        <f t="shared" si="123"/>
        <v>1.35987362538744</v>
      </c>
      <c r="AA136" s="2">
        <f t="shared" si="124"/>
        <v>3.10501253788712</v>
      </c>
      <c r="AB136" s="2">
        <f t="shared" si="125"/>
        <v>0.1276965276387</v>
      </c>
      <c r="AC136" s="2">
        <f t="shared" si="126"/>
        <v>1.56613985757298</v>
      </c>
      <c r="AD136" s="2">
        <f t="shared" si="127"/>
        <v>0.078267285291</v>
      </c>
      <c r="AE136" s="2">
        <f t="shared" si="128"/>
        <v>0.220619252649941</v>
      </c>
      <c r="AF136" s="2">
        <f t="shared" si="129"/>
        <v>0.131404984638484</v>
      </c>
      <c r="AG136" s="7">
        <f t="shared" si="130"/>
        <v>0.137349290323019</v>
      </c>
      <c r="AH136" s="2">
        <f t="shared" si="131"/>
        <v>44.8613902375823</v>
      </c>
      <c r="AI136" s="2">
        <f t="shared" si="132"/>
        <v>0.566139857572977</v>
      </c>
      <c r="AJ136" s="2">
        <f t="shared" si="133"/>
        <v>0.353413854104638</v>
      </c>
      <c r="AK136" s="2">
        <f t="shared" si="134"/>
        <v>0.155417007233919</v>
      </c>
      <c r="AL136" s="2">
        <f t="shared" si="135"/>
        <v>0.176372934537348</v>
      </c>
      <c r="AM136" s="2">
        <f t="shared" si="136"/>
        <v>5.56900352779924</v>
      </c>
      <c r="AN136" s="2">
        <f t="shared" si="137"/>
        <v>0.0993687542696</v>
      </c>
      <c r="AO136" s="2">
        <f t="shared" si="138"/>
        <v>0.561006759644459</v>
      </c>
      <c r="AP136" s="2">
        <f t="shared" si="139"/>
        <v>3.5558788066536</v>
      </c>
      <c r="AQ136" s="2">
        <f t="shared" si="140"/>
        <v>0.0914467126273</v>
      </c>
      <c r="AR136" s="2">
        <f t="shared" si="141"/>
        <v>0.494178838552215</v>
      </c>
      <c r="AS136" s="2">
        <f t="shared" si="142"/>
        <v>0.787644827252749</v>
      </c>
      <c r="AT136" s="2">
        <f t="shared" si="143"/>
        <v>0.116546156396946</v>
      </c>
      <c r="AU136" s="2">
        <f t="shared" si="144"/>
        <v>0.344273458438315</v>
      </c>
      <c r="AV136" s="2">
        <f t="shared" si="145"/>
        <v>0.0987665798936953</v>
      </c>
      <c r="AW136" s="2">
        <f t="shared" si="146"/>
        <v>0.550031431856654</v>
      </c>
      <c r="AX136" s="2">
        <f t="shared" si="147"/>
        <v>-0.0131794273363</v>
      </c>
      <c r="AY136" s="7">
        <f t="shared" si="148"/>
        <v>1.04667877570189</v>
      </c>
      <c r="AZ136" s="2">
        <f t="shared" si="149"/>
        <v>0.115438882586497</v>
      </c>
      <c r="BA136" s="2">
        <f t="shared" si="150"/>
        <v>0.658094335604095</v>
      </c>
      <c r="BB136" s="2">
        <f t="shared" si="151"/>
        <v>0.0694183437326889</v>
      </c>
      <c r="BC136" s="2">
        <f t="shared" si="152"/>
        <v>0.534571926431766</v>
      </c>
      <c r="BD136" s="2">
        <f t="shared" si="153"/>
        <v>0.0678801268546405</v>
      </c>
      <c r="BE136" s="2">
        <f t="shared" si="154"/>
        <v>-0.029951980879548</v>
      </c>
      <c r="BF136" s="2">
        <f t="shared" si="155"/>
        <v>0.342295748178867</v>
      </c>
    </row>
    <row r="137" s="2" customFormat="1" spans="1:58">
      <c r="A137" s="5">
        <v>161</v>
      </c>
      <c r="B137" s="6">
        <v>0.0282263246807</v>
      </c>
      <c r="C137" s="6">
        <v>0.0504290909879</v>
      </c>
      <c r="D137" s="6">
        <v>0.0485954411009</v>
      </c>
      <c r="E137" s="6">
        <v>0.126367278588</v>
      </c>
      <c r="F137" s="6">
        <v>0.180388800763</v>
      </c>
      <c r="G137" s="2">
        <f t="shared" si="104"/>
        <v>3.57707817510101</v>
      </c>
      <c r="H137" s="2">
        <f t="shared" si="105"/>
        <v>0.1299597097751</v>
      </c>
      <c r="I137" s="2">
        <f t="shared" si="106"/>
        <v>0.563040017345593</v>
      </c>
      <c r="J137" s="2">
        <f t="shared" si="107"/>
        <v>-0.399335921757547</v>
      </c>
      <c r="K137" s="2">
        <f t="shared" si="108"/>
        <v>2.57707817510101</v>
      </c>
      <c r="L137" s="2">
        <f t="shared" si="109"/>
        <v>1.20457384182532</v>
      </c>
      <c r="M137" s="2">
        <f t="shared" si="110"/>
        <v>0.266741642292873</v>
      </c>
      <c r="N137" s="2">
        <f t="shared" si="111"/>
        <v>0.229823044570285</v>
      </c>
      <c r="O137" s="2">
        <f t="shared" si="112"/>
        <v>0.385737875673316</v>
      </c>
      <c r="P137" s="2">
        <f t="shared" si="113"/>
        <v>0.270504190810421</v>
      </c>
      <c r="Q137" s="2">
        <f t="shared" si="114"/>
        <v>0.575556460083543</v>
      </c>
      <c r="R137" s="2">
        <f t="shared" si="115"/>
        <v>3.71205192660879</v>
      </c>
      <c r="S137" s="2">
        <f t="shared" si="116"/>
        <v>0.39302439727501</v>
      </c>
      <c r="T137" s="2">
        <f t="shared" si="117"/>
        <v>-0.383655757536704</v>
      </c>
      <c r="U137" s="2">
        <f t="shared" si="118"/>
        <v>0.271185614366213</v>
      </c>
      <c r="V137" s="2">
        <f t="shared" si="119"/>
        <v>0.23391125275021</v>
      </c>
      <c r="W137" s="2">
        <f t="shared" si="120"/>
        <v>0.1317933596621</v>
      </c>
      <c r="X137" s="2">
        <f t="shared" si="121"/>
        <v>0.275416992122192</v>
      </c>
      <c r="Y137" s="2">
        <f t="shared" si="122"/>
        <v>1.03709038182964</v>
      </c>
      <c r="Z137" s="2">
        <f t="shared" si="123"/>
        <v>0.926668608403841</v>
      </c>
      <c r="AA137" s="2">
        <f t="shared" si="124"/>
        <v>3.00280156971201</v>
      </c>
      <c r="AB137" s="2">
        <f t="shared" si="125"/>
        <v>0.11449212093195</v>
      </c>
      <c r="AC137" s="2">
        <f t="shared" si="126"/>
        <v>1.42749612699288</v>
      </c>
      <c r="AD137" s="2">
        <f t="shared" si="127"/>
        <v>0.054021522175</v>
      </c>
      <c r="AE137" s="2">
        <f t="shared" si="128"/>
        <v>0.176105791576463</v>
      </c>
      <c r="AF137" s="2">
        <f t="shared" si="129"/>
        <v>0.0975371873943154</v>
      </c>
      <c r="AG137" s="7">
        <f t="shared" si="130"/>
        <v>0.10044211049229</v>
      </c>
      <c r="AH137" s="2">
        <f t="shared" si="131"/>
        <v>35.5921949404507</v>
      </c>
      <c r="AI137" s="2">
        <f t="shared" si="132"/>
        <v>0.427496126992878</v>
      </c>
      <c r="AJ137" s="2">
        <f t="shared" si="133"/>
        <v>0.274380290545718</v>
      </c>
      <c r="AK137" s="2">
        <f t="shared" si="134"/>
        <v>0.111157798219771</v>
      </c>
      <c r="AL137" s="2">
        <f t="shared" si="135"/>
        <v>0.134256346077232</v>
      </c>
      <c r="AM137" s="2">
        <f t="shared" si="136"/>
        <v>3.71205192660879</v>
      </c>
      <c r="AN137" s="2">
        <f t="shared" si="137"/>
        <v>0.0777718374871</v>
      </c>
      <c r="AO137" s="2">
        <f t="shared" si="138"/>
        <v>0.444505193022751</v>
      </c>
      <c r="AP137" s="2">
        <f t="shared" si="139"/>
        <v>2.60039369383684</v>
      </c>
      <c r="AQ137" s="2">
        <f t="shared" si="140"/>
        <v>0.0759381876001</v>
      </c>
      <c r="AR137" s="2">
        <f t="shared" si="141"/>
        <v>0.429523455613149</v>
      </c>
      <c r="AS137" s="2">
        <f t="shared" si="142"/>
        <v>0.694615479336727</v>
      </c>
      <c r="AT137" s="2">
        <f t="shared" si="143"/>
        <v>0.141184727630356</v>
      </c>
      <c r="AU137" s="2">
        <f t="shared" si="144"/>
        <v>0.353786464505516</v>
      </c>
      <c r="AV137" s="2">
        <f t="shared" si="145"/>
        <v>0.136753153719734</v>
      </c>
      <c r="AW137" s="2">
        <f t="shared" si="146"/>
        <v>0.507634807735168</v>
      </c>
      <c r="AX137" s="2">
        <f t="shared" si="147"/>
        <v>-0.0219166654251</v>
      </c>
      <c r="AY137" s="7">
        <f t="shared" si="148"/>
        <v>1.01410937197515</v>
      </c>
      <c r="AZ137" s="2">
        <f t="shared" si="149"/>
        <v>0.0865521857885359</v>
      </c>
      <c r="BA137" s="2">
        <f t="shared" si="150"/>
        <v>0.752216055264365</v>
      </c>
      <c r="BB137" s="2">
        <f t="shared" si="151"/>
        <v>0.0400121172052576</v>
      </c>
      <c r="BC137" s="2">
        <f t="shared" si="152"/>
        <v>0.437819309585616</v>
      </c>
      <c r="BD137" s="2">
        <f t="shared" si="153"/>
        <v>0.0491838602363837</v>
      </c>
      <c r="BE137" s="2">
        <f t="shared" si="154"/>
        <v>-0.040672580724156</v>
      </c>
      <c r="BF137" s="2">
        <f t="shared" si="155"/>
        <v>0.312776687537591</v>
      </c>
    </row>
    <row r="138" s="2" customFormat="1" spans="1:58">
      <c r="A138" s="5">
        <v>168</v>
      </c>
      <c r="B138" s="6">
        <v>0.028977366152</v>
      </c>
      <c r="C138" s="6">
        <v>0.0504426116895</v>
      </c>
      <c r="D138" s="6">
        <v>0.050697489611</v>
      </c>
      <c r="E138" s="6">
        <v>0.122989321806</v>
      </c>
      <c r="F138" s="6">
        <v>0.173899912211</v>
      </c>
      <c r="G138" s="2">
        <f t="shared" si="104"/>
        <v>3.44748034224403</v>
      </c>
      <c r="H138" s="2">
        <f t="shared" si="105"/>
        <v>0.1234573005215</v>
      </c>
      <c r="I138" s="2">
        <f t="shared" si="106"/>
        <v>0.550307174828146</v>
      </c>
      <c r="J138" s="2">
        <f t="shared" si="107"/>
        <v>-0.414729671959595</v>
      </c>
      <c r="K138" s="2">
        <f t="shared" si="108"/>
        <v>2.44748034224403</v>
      </c>
      <c r="L138" s="2">
        <f t="shared" si="109"/>
        <v>1.16054555816984</v>
      </c>
      <c r="M138" s="2">
        <f t="shared" si="110"/>
        <v>0.255660747052438</v>
      </c>
      <c r="N138" s="2">
        <f t="shared" si="111"/>
        <v>0.218678547779372</v>
      </c>
      <c r="O138" s="2">
        <f t="shared" si="112"/>
        <v>0.372611563122312</v>
      </c>
      <c r="P138" s="2">
        <f t="shared" si="113"/>
        <v>0.260651948509686</v>
      </c>
      <c r="Q138" s="2">
        <f t="shared" si="114"/>
        <v>0.548547853183277</v>
      </c>
      <c r="R138" s="2">
        <f t="shared" si="115"/>
        <v>3.43014838693844</v>
      </c>
      <c r="S138" s="2">
        <f t="shared" si="116"/>
        <v>0.371595880624654</v>
      </c>
      <c r="T138" s="2">
        <f t="shared" si="117"/>
        <v>-0.416814091524054</v>
      </c>
      <c r="U138" s="2">
        <f t="shared" si="118"/>
        <v>0.255043191481658</v>
      </c>
      <c r="V138" s="2">
        <f t="shared" si="119"/>
        <v>0.218118992823194</v>
      </c>
      <c r="W138" s="2">
        <f t="shared" si="120"/>
        <v>0.1232024226</v>
      </c>
      <c r="X138" s="2">
        <f t="shared" si="121"/>
        <v>0.259966198618607</v>
      </c>
      <c r="Y138" s="2">
        <f t="shared" si="122"/>
        <v>1.02398625634492</v>
      </c>
      <c r="Z138" s="2">
        <f t="shared" si="123"/>
        <v>0.852065978019801</v>
      </c>
      <c r="AA138" s="2">
        <f t="shared" si="124"/>
        <v>2.98353744770667</v>
      </c>
      <c r="AB138" s="2">
        <f t="shared" si="125"/>
        <v>0.112298700911</v>
      </c>
      <c r="AC138" s="2">
        <f t="shared" si="126"/>
        <v>1.41394317537018</v>
      </c>
      <c r="AD138" s="2">
        <f t="shared" si="127"/>
        <v>0.050910590405</v>
      </c>
      <c r="AE138" s="2">
        <f t="shared" si="128"/>
        <v>0.17148008271019</v>
      </c>
      <c r="AF138" s="2">
        <f t="shared" si="129"/>
        <v>0.0934352837715709</v>
      </c>
      <c r="AG138" s="7">
        <f t="shared" si="130"/>
        <v>0.0958299878422889</v>
      </c>
      <c r="AH138" s="2">
        <f t="shared" si="131"/>
        <v>34.6382379517051</v>
      </c>
      <c r="AI138" s="2">
        <f t="shared" si="132"/>
        <v>0.413943175370175</v>
      </c>
      <c r="AJ138" s="2">
        <f t="shared" si="133"/>
        <v>0.266426368720884</v>
      </c>
      <c r="AK138" s="2">
        <f t="shared" si="134"/>
        <v>0.105390780336057</v>
      </c>
      <c r="AL138" s="2">
        <f t="shared" si="135"/>
        <v>0.129257335198235</v>
      </c>
      <c r="AM138" s="2">
        <f t="shared" si="136"/>
        <v>3.43014838693844</v>
      </c>
      <c r="AN138" s="2">
        <f t="shared" si="137"/>
        <v>0.072291832195</v>
      </c>
      <c r="AO138" s="2">
        <f t="shared" si="138"/>
        <v>0.416219467702913</v>
      </c>
      <c r="AP138" s="2">
        <f t="shared" si="139"/>
        <v>2.42594500733059</v>
      </c>
      <c r="AQ138" s="2">
        <f t="shared" si="140"/>
        <v>0.0725467101165</v>
      </c>
      <c r="AR138" s="2">
        <f t="shared" si="141"/>
        <v>0.418300763039019</v>
      </c>
      <c r="AS138" s="2">
        <f t="shared" si="142"/>
        <v>0.704237102023833</v>
      </c>
      <c r="AT138" s="2">
        <f t="shared" si="143"/>
        <v>0.145228870640686</v>
      </c>
      <c r="AU138" s="2">
        <f t="shared" si="144"/>
        <v>0.354097452699248</v>
      </c>
      <c r="AV138" s="2">
        <f t="shared" si="145"/>
        <v>0.145855656055662</v>
      </c>
      <c r="AW138" s="2">
        <f t="shared" si="146"/>
        <v>0.500306543345177</v>
      </c>
      <c r="AX138" s="2">
        <f t="shared" si="147"/>
        <v>-0.0216361197115</v>
      </c>
      <c r="AY138" s="7">
        <f t="shared" si="148"/>
        <v>0.997935497370967</v>
      </c>
      <c r="AZ138" s="2">
        <f t="shared" si="149"/>
        <v>0.0829964961677658</v>
      </c>
      <c r="BA138" s="2">
        <f t="shared" si="150"/>
        <v>0.774452590484752</v>
      </c>
      <c r="BB138" s="2">
        <f t="shared" si="151"/>
        <v>0.0370723603528162</v>
      </c>
      <c r="BC138" s="2">
        <f t="shared" si="152"/>
        <v>0.421150489012674</v>
      </c>
      <c r="BD138" s="2">
        <f t="shared" si="153"/>
        <v>0.0482110364403946</v>
      </c>
      <c r="BE138" s="2">
        <f t="shared" si="154"/>
        <v>-0.03986161759854</v>
      </c>
      <c r="BF138" s="2">
        <f t="shared" si="155"/>
        <v>0.311607935629298</v>
      </c>
    </row>
    <row r="139" s="2" customFormat="1" spans="1:58">
      <c r="A139" s="5">
        <v>146</v>
      </c>
      <c r="B139" s="6">
        <v>0.0296622449545</v>
      </c>
      <c r="C139" s="6">
        <v>0.0512749131654</v>
      </c>
      <c r="D139" s="6">
        <v>0.0516980272866</v>
      </c>
      <c r="E139" s="6">
        <v>0.123645601632</v>
      </c>
      <c r="F139" s="6">
        <v>0.172844877601</v>
      </c>
      <c r="G139" s="2">
        <f t="shared" si="104"/>
        <v>3.37094432599907</v>
      </c>
      <c r="H139" s="2">
        <f t="shared" si="105"/>
        <v>0.1215699644356</v>
      </c>
      <c r="I139" s="2">
        <f t="shared" si="106"/>
        <v>0.542432973098357</v>
      </c>
      <c r="J139" s="2">
        <f t="shared" si="107"/>
        <v>-0.42398080016305</v>
      </c>
      <c r="K139" s="2">
        <f t="shared" si="108"/>
        <v>2.37094432599907</v>
      </c>
      <c r="L139" s="2">
        <f t="shared" si="109"/>
        <v>1.13405395806476</v>
      </c>
      <c r="M139" s="2">
        <f t="shared" si="110"/>
        <v>0.251829806309254</v>
      </c>
      <c r="N139" s="2">
        <f t="shared" si="111"/>
        <v>0.215045466895061</v>
      </c>
      <c r="O139" s="2">
        <f t="shared" si="112"/>
        <v>0.367128073416704</v>
      </c>
      <c r="P139" s="2">
        <f t="shared" si="113"/>
        <v>0.256794776520598</v>
      </c>
      <c r="Q139" s="2">
        <f t="shared" si="114"/>
        <v>0.539526512205063</v>
      </c>
      <c r="R139" s="2">
        <f t="shared" si="115"/>
        <v>3.34335537878059</v>
      </c>
      <c r="S139" s="2">
        <f t="shared" si="116"/>
        <v>0.365447768190601</v>
      </c>
      <c r="T139" s="2">
        <f t="shared" si="117"/>
        <v>-0.427345292623577</v>
      </c>
      <c r="U139" s="2">
        <f t="shared" si="118"/>
        <v>0.250806783484811</v>
      </c>
      <c r="V139" s="2">
        <f t="shared" si="119"/>
        <v>0.214122163224325</v>
      </c>
      <c r="W139" s="2">
        <f t="shared" si="120"/>
        <v>0.1211468503144</v>
      </c>
      <c r="X139" s="2">
        <f t="shared" si="121"/>
        <v>0.255659808367989</v>
      </c>
      <c r="Y139" s="2">
        <f t="shared" si="122"/>
        <v>1.01957172979887</v>
      </c>
      <c r="Z139" s="2">
        <f t="shared" si="123"/>
        <v>0.828484448602337</v>
      </c>
      <c r="AA139" s="2">
        <f t="shared" si="124"/>
        <v>2.97653006144</v>
      </c>
      <c r="AB139" s="2">
        <f t="shared" si="125"/>
        <v>0.1122714524438</v>
      </c>
      <c r="AC139" s="2">
        <f t="shared" si="126"/>
        <v>1.39790558919701</v>
      </c>
      <c r="AD139" s="2">
        <f t="shared" si="127"/>
        <v>0.049199275969</v>
      </c>
      <c r="AE139" s="2">
        <f t="shared" si="128"/>
        <v>0.165938805509961</v>
      </c>
      <c r="AF139" s="2">
        <f t="shared" si="129"/>
        <v>0.0903552382889382</v>
      </c>
      <c r="AG139" s="7">
        <f t="shared" si="130"/>
        <v>0.092655111238199</v>
      </c>
      <c r="AH139" s="2">
        <f t="shared" si="131"/>
        <v>33.4975108767955</v>
      </c>
      <c r="AI139" s="2">
        <f t="shared" si="132"/>
        <v>0.397905589197012</v>
      </c>
      <c r="AJ139" s="2">
        <f t="shared" si="133"/>
        <v>0.256959098257076</v>
      </c>
      <c r="AK139" s="2">
        <f t="shared" si="134"/>
        <v>0.101855823106775</v>
      </c>
      <c r="AL139" s="2">
        <f t="shared" si="135"/>
        <v>0.125021578149738</v>
      </c>
      <c r="AM139" s="2">
        <f t="shared" si="136"/>
        <v>3.34335537878059</v>
      </c>
      <c r="AN139" s="2">
        <f t="shared" si="137"/>
        <v>0.0719475743454</v>
      </c>
      <c r="AO139" s="2">
        <f t="shared" si="138"/>
        <v>0.410323287986701</v>
      </c>
      <c r="AP139" s="2">
        <f t="shared" si="139"/>
        <v>2.39168896999767</v>
      </c>
      <c r="AQ139" s="2">
        <f t="shared" si="140"/>
        <v>0.0723706884666</v>
      </c>
      <c r="AR139" s="2">
        <f t="shared" si="141"/>
        <v>0.413734710021993</v>
      </c>
      <c r="AS139" s="2">
        <f t="shared" si="142"/>
        <v>0.683821190868898</v>
      </c>
      <c r="AT139" s="2">
        <f t="shared" si="143"/>
        <v>0.1474411033593</v>
      </c>
      <c r="AU139" s="2">
        <f t="shared" si="144"/>
        <v>0.355543145852626</v>
      </c>
      <c r="AV139" s="2">
        <f t="shared" si="145"/>
        <v>0.148477121784862</v>
      </c>
      <c r="AW139" s="2">
        <f t="shared" si="146"/>
        <v>0.496411783745281</v>
      </c>
      <c r="AX139" s="2">
        <f t="shared" si="147"/>
        <v>-0.0231714124976</v>
      </c>
      <c r="AY139" s="7">
        <f t="shared" si="148"/>
        <v>0.996519583408909</v>
      </c>
      <c r="AZ139" s="2">
        <f t="shared" si="149"/>
        <v>0.080382744364535</v>
      </c>
      <c r="BA139" s="2">
        <f t="shared" si="150"/>
        <v>0.782451229430086</v>
      </c>
      <c r="BB139" s="2">
        <f t="shared" si="151"/>
        <v>0.0347872763089099</v>
      </c>
      <c r="BC139" s="2">
        <f t="shared" si="152"/>
        <v>0.41783125613251</v>
      </c>
      <c r="BD139" s="2">
        <f t="shared" si="153"/>
        <v>0.0459867124061318</v>
      </c>
      <c r="BE139" s="2">
        <f t="shared" si="154"/>
        <v>-0.042051316612536</v>
      </c>
      <c r="BF139" s="2">
        <f t="shared" si="155"/>
        <v>0.305915778980258</v>
      </c>
    </row>
    <row r="140" s="2" customFormat="1" spans="1:58">
      <c r="A140" s="5">
        <v>191.5</v>
      </c>
      <c r="B140" s="6">
        <v>0.0243743373195</v>
      </c>
      <c r="C140" s="6">
        <v>0.0473661029318</v>
      </c>
      <c r="D140" s="6">
        <v>0.0382352544927</v>
      </c>
      <c r="E140" s="6">
        <v>0.142993818489</v>
      </c>
      <c r="F140" s="6">
        <v>0.227066935227</v>
      </c>
      <c r="G140" s="2">
        <f t="shared" si="104"/>
        <v>4.79386990215222</v>
      </c>
      <c r="H140" s="2">
        <f t="shared" si="105"/>
        <v>0.1797008322952</v>
      </c>
      <c r="I140" s="2">
        <f t="shared" si="106"/>
        <v>0.65480757528624</v>
      </c>
      <c r="J140" s="2">
        <f t="shared" si="107"/>
        <v>-0.269628143001032</v>
      </c>
      <c r="K140" s="2">
        <f t="shared" si="108"/>
        <v>3.79386990215222</v>
      </c>
      <c r="L140" s="2">
        <f t="shared" si="109"/>
        <v>1.57615188087308</v>
      </c>
      <c r="M140" s="2">
        <f t="shared" si="110"/>
        <v>0.348062692526203</v>
      </c>
      <c r="N140" s="2">
        <f t="shared" si="111"/>
        <v>0.315697680529979</v>
      </c>
      <c r="O140" s="2">
        <f t="shared" si="112"/>
        <v>0.479827607830865</v>
      </c>
      <c r="P140" s="2">
        <f t="shared" si="113"/>
        <v>0.343029832918566</v>
      </c>
      <c r="Q140" s="2">
        <f t="shared" si="114"/>
        <v>0.711760731917843</v>
      </c>
      <c r="R140" s="2">
        <f t="shared" si="115"/>
        <v>5.9386798450721</v>
      </c>
      <c r="S140" s="2">
        <f t="shared" si="116"/>
        <v>0.515033204499022</v>
      </c>
      <c r="T140" s="2">
        <f t="shared" si="117"/>
        <v>-0.167786664595049</v>
      </c>
      <c r="U140" s="2">
        <f t="shared" si="118"/>
        <v>0.370111996158266</v>
      </c>
      <c r="V140" s="2">
        <f t="shared" si="119"/>
        <v>0.338527404636118</v>
      </c>
      <c r="W140" s="2">
        <f t="shared" si="120"/>
        <v>0.1888316807343</v>
      </c>
      <c r="X140" s="2">
        <f t="shared" si="121"/>
        <v>0.366610113456683</v>
      </c>
      <c r="Y140" s="2">
        <f t="shared" si="122"/>
        <v>1.10080004175047</v>
      </c>
      <c r="Z140" s="2">
        <f t="shared" si="123"/>
        <v>1.43694067327707</v>
      </c>
      <c r="AA140" s="2">
        <f t="shared" si="124"/>
        <v>3.12300495698678</v>
      </c>
      <c r="AB140" s="2">
        <f t="shared" si="125"/>
        <v>0.13265109485985</v>
      </c>
      <c r="AC140" s="2">
        <f t="shared" si="126"/>
        <v>1.58794930876307</v>
      </c>
      <c r="AD140" s="2">
        <f t="shared" si="127"/>
        <v>0.084073116738</v>
      </c>
      <c r="AE140" s="2">
        <f t="shared" si="128"/>
        <v>0.227187335846268</v>
      </c>
      <c r="AF140" s="2">
        <f t="shared" si="129"/>
        <v>0.138204006483164</v>
      </c>
      <c r="AG140" s="7">
        <f t="shared" si="130"/>
        <v>0.144943527872496</v>
      </c>
      <c r="AH140" s="2">
        <f t="shared" si="131"/>
        <v>46.2443440881612</v>
      </c>
      <c r="AI140" s="2">
        <f t="shared" si="132"/>
        <v>0.587949308763074</v>
      </c>
      <c r="AJ140" s="2">
        <f t="shared" si="133"/>
        <v>0.365478641059279</v>
      </c>
      <c r="AK140" s="2">
        <f t="shared" si="134"/>
        <v>0.164784155593739</v>
      </c>
      <c r="AL140" s="2">
        <f t="shared" si="135"/>
        <v>0.183987995210701</v>
      </c>
      <c r="AM140" s="2">
        <f t="shared" si="136"/>
        <v>5.9386798450721</v>
      </c>
      <c r="AN140" s="2">
        <f t="shared" si="137"/>
        <v>0.1047585639963</v>
      </c>
      <c r="AO140" s="2">
        <f t="shared" si="138"/>
        <v>0.578045024855798</v>
      </c>
      <c r="AP140" s="2">
        <f t="shared" si="139"/>
        <v>3.73984220547821</v>
      </c>
      <c r="AQ140" s="2">
        <f t="shared" si="140"/>
        <v>0.0956277155572</v>
      </c>
      <c r="AR140" s="2">
        <f t="shared" si="141"/>
        <v>0.502352148726781</v>
      </c>
      <c r="AS140" s="2">
        <f t="shared" si="142"/>
        <v>0.802541706671059</v>
      </c>
      <c r="AT140" s="2">
        <f t="shared" si="143"/>
        <v>0.11347162305794</v>
      </c>
      <c r="AU140" s="2">
        <f t="shared" si="144"/>
        <v>0.342560178416239</v>
      </c>
      <c r="AV140" s="2">
        <f t="shared" si="145"/>
        <v>0.0936459179712482</v>
      </c>
      <c r="AW140" s="2">
        <f t="shared" si="146"/>
        <v>0.556133125629127</v>
      </c>
      <c r="AX140" s="2">
        <f t="shared" si="147"/>
        <v>-0.0115545988192</v>
      </c>
      <c r="AY140" s="7">
        <f t="shared" si="148"/>
        <v>1.05081138647205</v>
      </c>
      <c r="AZ140" s="2">
        <f t="shared" si="149"/>
        <v>0.121508109008084</v>
      </c>
      <c r="BA140" s="2">
        <f t="shared" si="150"/>
        <v>0.649425292060361</v>
      </c>
      <c r="BB140" s="2">
        <f t="shared" si="151"/>
        <v>0.0764326851242019</v>
      </c>
      <c r="BC140" s="2">
        <f t="shared" si="152"/>
        <v>0.562347070033748</v>
      </c>
      <c r="BD140" s="2">
        <f t="shared" si="153"/>
        <v>0.0723062680772393</v>
      </c>
      <c r="BE140" s="2">
        <f t="shared" si="154"/>
        <v>-0.028113948166512</v>
      </c>
      <c r="BF140" s="2">
        <f t="shared" si="155"/>
        <v>0.346952821593361</v>
      </c>
    </row>
    <row r="141" s="2" customFormat="1" spans="1:58">
      <c r="A141" s="5">
        <v>204</v>
      </c>
      <c r="B141" s="6">
        <v>0.0228480208481</v>
      </c>
      <c r="C141" s="6">
        <v>0.046848893119</v>
      </c>
      <c r="D141" s="6">
        <v>0.0335638367696</v>
      </c>
      <c r="E141" s="6">
        <v>0.156438951115</v>
      </c>
      <c r="F141" s="6">
        <v>0.262444898689</v>
      </c>
      <c r="G141" s="2">
        <f t="shared" si="104"/>
        <v>5.60194449039316</v>
      </c>
      <c r="H141" s="2">
        <f t="shared" si="105"/>
        <v>0.21559600557</v>
      </c>
      <c r="I141" s="2">
        <f t="shared" si="106"/>
        <v>0.697058949388274</v>
      </c>
      <c r="J141" s="2">
        <f t="shared" si="107"/>
        <v>-0.196005338213613</v>
      </c>
      <c r="K141" s="2">
        <f t="shared" si="108"/>
        <v>4.60194449039316</v>
      </c>
      <c r="L141" s="2">
        <f t="shared" si="109"/>
        <v>1.79104064488124</v>
      </c>
      <c r="M141" s="2">
        <f t="shared" si="110"/>
        <v>0.399600258433372</v>
      </c>
      <c r="N141" s="2">
        <f t="shared" si="111"/>
        <v>0.374978497052833</v>
      </c>
      <c r="O141" s="2">
        <f t="shared" si="112"/>
        <v>0.532910025290764</v>
      </c>
      <c r="P141" s="2">
        <f t="shared" si="113"/>
        <v>0.387663675284302</v>
      </c>
      <c r="Q141" s="2">
        <f t="shared" si="114"/>
        <v>0.773224011665735</v>
      </c>
      <c r="R141" s="2">
        <f t="shared" si="115"/>
        <v>7.81927586201069</v>
      </c>
      <c r="S141" s="2">
        <f t="shared" si="116"/>
        <v>0.582230144252595</v>
      </c>
      <c r="T141" s="2">
        <f t="shared" si="117"/>
        <v>-0.0318250423263397</v>
      </c>
      <c r="U141" s="2">
        <f t="shared" si="118"/>
        <v>0.431303800556038</v>
      </c>
      <c r="V141" s="2">
        <f t="shared" si="119"/>
        <v>0.410933732866235</v>
      </c>
      <c r="W141" s="2">
        <f t="shared" si="120"/>
        <v>0.2288810619194</v>
      </c>
      <c r="X141" s="2">
        <f t="shared" si="121"/>
        <v>0.420685551084931</v>
      </c>
      <c r="Y141" s="2">
        <f t="shared" si="122"/>
        <v>1.12837228416234</v>
      </c>
      <c r="Z141" s="2">
        <f t="shared" si="123"/>
        <v>1.79629681221624</v>
      </c>
      <c r="AA141" s="2">
        <f t="shared" si="124"/>
        <v>3.20510344897417</v>
      </c>
      <c r="AB141" s="2">
        <f t="shared" si="125"/>
        <v>0.1480043677293</v>
      </c>
      <c r="AC141" s="2">
        <f t="shared" si="126"/>
        <v>1.67761862898246</v>
      </c>
      <c r="AD141" s="2">
        <f t="shared" si="127"/>
        <v>0.106005947574</v>
      </c>
      <c r="AE141" s="2">
        <f t="shared" si="128"/>
        <v>0.25306764064454</v>
      </c>
      <c r="AF141" s="2">
        <f t="shared" si="129"/>
        <v>0.163788507065792</v>
      </c>
      <c r="AG141" s="7">
        <f t="shared" si="130"/>
        <v>0.173045724326221</v>
      </c>
      <c r="AH141" s="2">
        <f t="shared" si="131"/>
        <v>51.7375305087586</v>
      </c>
      <c r="AI141" s="2">
        <f t="shared" si="132"/>
        <v>0.677618628982458</v>
      </c>
      <c r="AJ141" s="2">
        <f t="shared" si="133"/>
        <v>0.414105478946341</v>
      </c>
      <c r="AK141" s="2">
        <f t="shared" si="134"/>
        <v>0.199757759278095</v>
      </c>
      <c r="AL141" s="2">
        <f t="shared" si="135"/>
        <v>0.212420676837805</v>
      </c>
      <c r="AM141" s="2">
        <f t="shared" si="136"/>
        <v>7.81927586201069</v>
      </c>
      <c r="AN141" s="2">
        <f t="shared" si="137"/>
        <v>0.1228751143454</v>
      </c>
      <c r="AO141" s="2">
        <f t="shared" si="138"/>
        <v>0.646701639030841</v>
      </c>
      <c r="AP141" s="2">
        <f t="shared" si="139"/>
        <v>4.66093766898225</v>
      </c>
      <c r="AQ141" s="2">
        <f t="shared" si="140"/>
        <v>0.109590057996</v>
      </c>
      <c r="AR141" s="2">
        <f t="shared" si="141"/>
        <v>0.539088101450146</v>
      </c>
      <c r="AS141" s="2">
        <f t="shared" si="142"/>
        <v>0.862712910899264</v>
      </c>
      <c r="AT141" s="2">
        <f t="shared" si="143"/>
        <v>0.100591796112445</v>
      </c>
      <c r="AU141" s="2">
        <f t="shared" si="144"/>
        <v>0.335898545876694</v>
      </c>
      <c r="AV141" s="2">
        <f t="shared" si="145"/>
        <v>0.0741828011626713</v>
      </c>
      <c r="AW141" s="2">
        <f t="shared" si="146"/>
        <v>0.580055786507614</v>
      </c>
      <c r="AX141" s="2">
        <f t="shared" si="147"/>
        <v>-0.003584110422</v>
      </c>
      <c r="AY141" s="7">
        <f t="shared" si="148"/>
        <v>1.06162014140418</v>
      </c>
      <c r="AZ141" s="2">
        <f t="shared" si="149"/>
        <v>0.143273591922082</v>
      </c>
      <c r="BA141" s="2">
        <f t="shared" si="150"/>
        <v>0.614121440574799</v>
      </c>
      <c r="BB141" s="2">
        <f t="shared" si="151"/>
        <v>0.105499977377393</v>
      </c>
      <c r="BC141" s="2">
        <f t="shared" si="152"/>
        <v>0.657190574958894</v>
      </c>
      <c r="BD141" s="2">
        <f t="shared" si="153"/>
        <v>0.0876327627436363</v>
      </c>
      <c r="BE141" s="2">
        <f t="shared" si="154"/>
        <v>-0.0183119259672</v>
      </c>
      <c r="BF141" s="2">
        <f t="shared" si="155"/>
        <v>0.36305055815814</v>
      </c>
    </row>
    <row r="142" s="2" customFormat="1" spans="1:58">
      <c r="A142" s="5">
        <v>180.5</v>
      </c>
      <c r="B142" s="6">
        <v>0.0243774786561</v>
      </c>
      <c r="C142" s="6">
        <v>0.0481148651505</v>
      </c>
      <c r="D142" s="6">
        <v>0.0381118163183</v>
      </c>
      <c r="E142" s="6">
        <v>0.14846654845</v>
      </c>
      <c r="F142" s="6">
        <v>0.241164715071</v>
      </c>
      <c r="G142" s="2">
        <f t="shared" si="104"/>
        <v>5.01227041407377</v>
      </c>
      <c r="H142" s="2">
        <f t="shared" si="105"/>
        <v>0.1930498499205</v>
      </c>
      <c r="I142" s="2">
        <f t="shared" si="106"/>
        <v>0.667346965080227</v>
      </c>
      <c r="J142" s="2">
        <f t="shared" si="107"/>
        <v>-0.248850706353754</v>
      </c>
      <c r="K142" s="2">
        <f t="shared" si="108"/>
        <v>4.01227041407377</v>
      </c>
      <c r="L142" s="2">
        <f t="shared" si="109"/>
        <v>1.63633018792459</v>
      </c>
      <c r="M142" s="2">
        <f t="shared" si="110"/>
        <v>0.366884919028926</v>
      </c>
      <c r="N142" s="2">
        <f t="shared" si="111"/>
        <v>0.337153038228267</v>
      </c>
      <c r="O142" s="2">
        <f t="shared" si="112"/>
        <v>0.498437578216611</v>
      </c>
      <c r="P142" s="2">
        <f t="shared" si="113"/>
        <v>0.358930677782826</v>
      </c>
      <c r="Q142" s="2">
        <f t="shared" si="114"/>
        <v>0.727067533181485</v>
      </c>
      <c r="R142" s="2">
        <f t="shared" si="115"/>
        <v>6.32782004029551</v>
      </c>
      <c r="S142" s="2">
        <f t="shared" si="116"/>
        <v>0.536202928501974</v>
      </c>
      <c r="T142" s="2">
        <f t="shared" si="117"/>
        <v>-0.13679096329796</v>
      </c>
      <c r="U142" s="2">
        <f t="shared" si="118"/>
        <v>0.390848865403458</v>
      </c>
      <c r="V142" s="2">
        <f t="shared" si="119"/>
        <v>0.362721407083031</v>
      </c>
      <c r="W142" s="2">
        <f t="shared" si="120"/>
        <v>0.2030528987527</v>
      </c>
      <c r="X142" s="2">
        <f t="shared" si="121"/>
        <v>0.384230621113773</v>
      </c>
      <c r="Y142" s="2">
        <f t="shared" si="122"/>
        <v>1.10773080357165</v>
      </c>
      <c r="Z142" s="2">
        <f t="shared" si="123"/>
        <v>1.51551585967879</v>
      </c>
      <c r="AA142" s="2">
        <f t="shared" si="124"/>
        <v>3.14340394435894</v>
      </c>
      <c r="AB142" s="2">
        <f t="shared" si="125"/>
        <v>0.13963826569465</v>
      </c>
      <c r="AC142" s="2">
        <f t="shared" si="126"/>
        <v>1.62437072585559</v>
      </c>
      <c r="AD142" s="2">
        <f t="shared" si="127"/>
        <v>0.092698166621</v>
      </c>
      <c r="AE142" s="2">
        <f t="shared" si="128"/>
        <v>0.237912547836408</v>
      </c>
      <c r="AF142" s="2">
        <f t="shared" si="129"/>
        <v>0.148506084052358</v>
      </c>
      <c r="AG142" s="7">
        <f t="shared" si="130"/>
        <v>0.156297620860553</v>
      </c>
      <c r="AH142" s="2">
        <f t="shared" si="131"/>
        <v>48.5120495155418</v>
      </c>
      <c r="AI142" s="2">
        <f t="shared" si="132"/>
        <v>0.624370725855586</v>
      </c>
      <c r="AJ142" s="2">
        <f t="shared" si="133"/>
        <v>0.385416177894454</v>
      </c>
      <c r="AK142" s="2">
        <f t="shared" si="134"/>
        <v>0.178431204239663</v>
      </c>
      <c r="AL142" s="2">
        <f t="shared" si="135"/>
        <v>0.195640023443193</v>
      </c>
      <c r="AM142" s="2">
        <f t="shared" si="136"/>
        <v>6.32782004029551</v>
      </c>
      <c r="AN142" s="2">
        <f t="shared" si="137"/>
        <v>0.1103547321317</v>
      </c>
      <c r="AO142" s="2">
        <f t="shared" si="138"/>
        <v>0.591465855479775</v>
      </c>
      <c r="AP142" s="2">
        <f t="shared" si="139"/>
        <v>3.89555163705781</v>
      </c>
      <c r="AQ142" s="2">
        <f t="shared" si="140"/>
        <v>0.1003516832995</v>
      </c>
      <c r="AR142" s="2">
        <f t="shared" si="141"/>
        <v>0.510484086269918</v>
      </c>
      <c r="AS142" s="2">
        <f t="shared" si="142"/>
        <v>0.840001736494378</v>
      </c>
      <c r="AT142" s="2">
        <f t="shared" si="143"/>
        <v>0.109914998669485</v>
      </c>
      <c r="AU142" s="2">
        <f t="shared" si="144"/>
        <v>0.3391613054365</v>
      </c>
      <c r="AV142" s="2">
        <f t="shared" si="145"/>
        <v>0.089099784694631</v>
      </c>
      <c r="AW142" s="2">
        <f t="shared" si="146"/>
        <v>0.563807403176701</v>
      </c>
      <c r="AX142" s="2">
        <f t="shared" si="147"/>
        <v>-0.00765351667850001</v>
      </c>
      <c r="AY142" s="7">
        <f t="shared" si="148"/>
        <v>1.05181588504896</v>
      </c>
      <c r="AZ142" s="2">
        <f t="shared" si="149"/>
        <v>0.130848109756194</v>
      </c>
      <c r="BA142" s="2">
        <f t="shared" si="150"/>
        <v>0.64392266409984</v>
      </c>
      <c r="BB142" s="2">
        <f t="shared" si="151"/>
        <v>0.0878592832313009</v>
      </c>
      <c r="BC142" s="2">
        <f t="shared" si="152"/>
        <v>0.599991335773657</v>
      </c>
      <c r="BD142" s="2">
        <f t="shared" si="153"/>
        <v>0.0801945891425975</v>
      </c>
      <c r="BE142" s="2">
        <f t="shared" si="154"/>
        <v>-0.02306326601298</v>
      </c>
      <c r="BF142" s="2">
        <f t="shared" si="155"/>
        <v>0.356505027048121</v>
      </c>
    </row>
    <row r="143" s="2" customFormat="1" spans="1:58">
      <c r="A143" s="5">
        <v>185</v>
      </c>
      <c r="B143" s="6">
        <v>0.0253712594764</v>
      </c>
      <c r="C143" s="6">
        <v>0.04831021341</v>
      </c>
      <c r="D143" s="6">
        <v>0.0402305770135</v>
      </c>
      <c r="E143" s="6">
        <v>0.14701991285</v>
      </c>
      <c r="F143" s="6">
        <v>0.231398806722</v>
      </c>
      <c r="G143" s="2">
        <f t="shared" si="104"/>
        <v>4.78985271205822</v>
      </c>
      <c r="H143" s="2">
        <f t="shared" si="105"/>
        <v>0.183088593312</v>
      </c>
      <c r="I143" s="2">
        <f t="shared" si="106"/>
        <v>0.654568069437292</v>
      </c>
      <c r="J143" s="2">
        <f t="shared" si="107"/>
        <v>-0.270016793865349</v>
      </c>
      <c r="K143" s="2">
        <f t="shared" si="108"/>
        <v>3.78985271205822</v>
      </c>
      <c r="L143" s="2">
        <f t="shared" si="109"/>
        <v>1.57502907058366</v>
      </c>
      <c r="M143" s="2">
        <f t="shared" si="110"/>
        <v>0.352224846547891</v>
      </c>
      <c r="N143" s="2">
        <f t="shared" si="111"/>
        <v>0.320586163476487</v>
      </c>
      <c r="O143" s="2">
        <f t="shared" si="112"/>
        <v>0.483007531158135</v>
      </c>
      <c r="P143" s="2">
        <f t="shared" si="113"/>
        <v>0.346184845220332</v>
      </c>
      <c r="Q143" s="2">
        <f t="shared" si="114"/>
        <v>0.703783320786277</v>
      </c>
      <c r="R143" s="2">
        <f t="shared" si="115"/>
        <v>5.75181426416903</v>
      </c>
      <c r="S143" s="2">
        <f t="shared" si="116"/>
        <v>0.513762859568778</v>
      </c>
      <c r="T143" s="2">
        <f t="shared" si="117"/>
        <v>-0.183279518463979</v>
      </c>
      <c r="U143" s="2">
        <f t="shared" si="118"/>
        <v>0.371619265164017</v>
      </c>
      <c r="V143" s="2">
        <f t="shared" si="119"/>
        <v>0.340748381076045</v>
      </c>
      <c r="W143" s="2">
        <f t="shared" si="120"/>
        <v>0.1911682297085</v>
      </c>
      <c r="X143" s="2">
        <f t="shared" si="121"/>
        <v>0.366798325422952</v>
      </c>
      <c r="Y143" s="2">
        <f t="shared" si="122"/>
        <v>1.09717059784989</v>
      </c>
      <c r="Z143" s="2">
        <f t="shared" si="123"/>
        <v>1.3982940320505</v>
      </c>
      <c r="AA143" s="2">
        <f t="shared" si="124"/>
        <v>3.1161680092404</v>
      </c>
      <c r="AB143" s="2">
        <f t="shared" si="125"/>
        <v>0.13581469186775</v>
      </c>
      <c r="AC143" s="2">
        <f t="shared" si="126"/>
        <v>1.57392833553159</v>
      </c>
      <c r="AD143" s="2">
        <f t="shared" si="127"/>
        <v>0.084378893872</v>
      </c>
      <c r="AE143" s="2">
        <f t="shared" si="128"/>
        <v>0.222977589394717</v>
      </c>
      <c r="AF143" s="2">
        <f t="shared" si="129"/>
        <v>0.137166330968541</v>
      </c>
      <c r="AG143" s="7">
        <f t="shared" si="130"/>
        <v>0.144086570547664</v>
      </c>
      <c r="AH143" s="2">
        <f t="shared" si="131"/>
        <v>45.3574618800862</v>
      </c>
      <c r="AI143" s="2">
        <f t="shared" si="132"/>
        <v>0.573928335531591</v>
      </c>
      <c r="AJ143" s="2">
        <f t="shared" si="133"/>
        <v>0.357733359839639</v>
      </c>
      <c r="AK143" s="2">
        <f t="shared" si="134"/>
        <v>0.164027373083274</v>
      </c>
      <c r="AL143" s="2">
        <f t="shared" si="135"/>
        <v>0.181790701796785</v>
      </c>
      <c r="AM143" s="2">
        <f t="shared" si="136"/>
        <v>5.75181426416903</v>
      </c>
      <c r="AN143" s="2">
        <f t="shared" si="137"/>
        <v>0.1067893358365</v>
      </c>
      <c r="AO143" s="2">
        <f t="shared" si="138"/>
        <v>0.570302037203461</v>
      </c>
      <c r="AP143" s="2">
        <f t="shared" si="139"/>
        <v>3.65443212014248</v>
      </c>
      <c r="AQ143" s="2">
        <f t="shared" si="140"/>
        <v>0.09870969944</v>
      </c>
      <c r="AR143" s="2">
        <f t="shared" si="141"/>
        <v>0.505348055264192</v>
      </c>
      <c r="AS143" s="2">
        <f t="shared" si="142"/>
        <v>0.79014344654403</v>
      </c>
      <c r="AT143" s="2">
        <f t="shared" si="143"/>
        <v>0.113210541109566</v>
      </c>
      <c r="AU143" s="2">
        <f t="shared" si="144"/>
        <v>0.3445276415232</v>
      </c>
      <c r="AV143" s="2">
        <f t="shared" si="145"/>
        <v>0.0960961294850373</v>
      </c>
      <c r="AW143" s="2">
        <f t="shared" si="146"/>
        <v>0.552727088303472</v>
      </c>
      <c r="AX143" s="2">
        <f t="shared" si="147"/>
        <v>-0.014330805568</v>
      </c>
      <c r="AY143" s="7">
        <f t="shared" si="148"/>
        <v>1.04412965466795</v>
      </c>
      <c r="AZ143" s="2">
        <f t="shared" si="149"/>
        <v>0.120459248806429</v>
      </c>
      <c r="BA143" s="2">
        <f t="shared" si="150"/>
        <v>0.642300983885984</v>
      </c>
      <c r="BB143" s="2">
        <f t="shared" si="151"/>
        <v>0.0751726670006784</v>
      </c>
      <c r="BC143" s="2">
        <f t="shared" si="152"/>
        <v>0.572726478154173</v>
      </c>
      <c r="BD143" s="2">
        <f t="shared" si="153"/>
        <v>0.0726056254610279</v>
      </c>
      <c r="BE143" s="2">
        <f t="shared" si="154"/>
        <v>-0.03248152395072</v>
      </c>
      <c r="BF143" s="2">
        <f t="shared" si="155"/>
        <v>0.340648436435958</v>
      </c>
    </row>
    <row r="144" s="2" customFormat="1" spans="1:58">
      <c r="A144" s="5">
        <v>183.5</v>
      </c>
      <c r="B144" s="6">
        <v>0.0239897870672</v>
      </c>
      <c r="C144" s="6">
        <v>0.0467377807931</v>
      </c>
      <c r="D144" s="6">
        <v>0.0373137416198</v>
      </c>
      <c r="E144" s="6">
        <v>0.147512648281</v>
      </c>
      <c r="F144" s="6">
        <v>0.236441964202</v>
      </c>
      <c r="G144" s="2">
        <f t="shared" si="104"/>
        <v>5.05890438505601</v>
      </c>
      <c r="H144" s="2">
        <f t="shared" si="105"/>
        <v>0.1897041834089</v>
      </c>
      <c r="I144" s="2">
        <f t="shared" si="106"/>
        <v>0.669907317743303</v>
      </c>
      <c r="J144" s="2">
        <f t="shared" si="107"/>
        <v>-0.244502003110436</v>
      </c>
      <c r="K144" s="2">
        <f t="shared" si="108"/>
        <v>4.05890438505601</v>
      </c>
      <c r="L144" s="2">
        <f t="shared" si="109"/>
        <v>1.64896626695921</v>
      </c>
      <c r="M144" s="2">
        <f t="shared" si="110"/>
        <v>0.363334569020462</v>
      </c>
      <c r="N144" s="2">
        <f t="shared" si="111"/>
        <v>0.332785674990622</v>
      </c>
      <c r="O144" s="2">
        <f t="shared" si="112"/>
        <v>0.496540862346399</v>
      </c>
      <c r="P144" s="2">
        <f t="shared" si="113"/>
        <v>0.356488738492732</v>
      </c>
      <c r="Q144" s="2">
        <f t="shared" si="114"/>
        <v>0.727393871058971</v>
      </c>
      <c r="R144" s="2">
        <f t="shared" si="115"/>
        <v>6.33659220271106</v>
      </c>
      <c r="S144" s="2">
        <f t="shared" si="116"/>
        <v>0.53253187242279</v>
      </c>
      <c r="T144" s="2">
        <f t="shared" si="117"/>
        <v>-0.136111197409709</v>
      </c>
      <c r="U144" s="2">
        <f t="shared" si="118"/>
        <v>0.386029248800254</v>
      </c>
      <c r="V144" s="2">
        <f t="shared" si="119"/>
        <v>0.356849654646999</v>
      </c>
      <c r="W144" s="2">
        <f t="shared" si="120"/>
        <v>0.1991282225822</v>
      </c>
      <c r="X144" s="2">
        <f t="shared" si="121"/>
        <v>0.380584614325328</v>
      </c>
      <c r="Y144" s="2">
        <f t="shared" si="122"/>
        <v>1.10787809395211</v>
      </c>
      <c r="Z144" s="2">
        <f t="shared" si="123"/>
        <v>1.51725886684526</v>
      </c>
      <c r="AA144" s="2">
        <f t="shared" si="124"/>
        <v>3.14184032332561</v>
      </c>
      <c r="AB144" s="2">
        <f t="shared" si="125"/>
        <v>0.1368778529109</v>
      </c>
      <c r="AC144" s="2">
        <f t="shared" si="126"/>
        <v>1.60285892062352</v>
      </c>
      <c r="AD144" s="2">
        <f t="shared" si="127"/>
        <v>0.088929315921</v>
      </c>
      <c r="AE144" s="2">
        <f t="shared" si="128"/>
        <v>0.231614136227983</v>
      </c>
      <c r="AF144" s="2">
        <f t="shared" si="129"/>
        <v>0.143517548377848</v>
      </c>
      <c r="AG144" s="7">
        <f t="shared" si="130"/>
        <v>0.150905908513561</v>
      </c>
      <c r="AH144" s="2">
        <f t="shared" si="131"/>
        <v>47.1788860162027</v>
      </c>
      <c r="AI144" s="2">
        <f t="shared" si="132"/>
        <v>0.602858920623516</v>
      </c>
      <c r="AJ144" s="2">
        <f t="shared" si="133"/>
        <v>0.37367184556446</v>
      </c>
      <c r="AK144" s="2">
        <f t="shared" si="134"/>
        <v>0.172398048735322</v>
      </c>
      <c r="AL144" s="2">
        <f t="shared" si="135"/>
        <v>0.189644510959237</v>
      </c>
      <c r="AM144" s="2">
        <f t="shared" si="136"/>
        <v>6.33659220271106</v>
      </c>
      <c r="AN144" s="2">
        <f t="shared" si="137"/>
        <v>0.1101989066612</v>
      </c>
      <c r="AO144" s="2">
        <f t="shared" si="138"/>
        <v>0.59622928695597</v>
      </c>
      <c r="AP144" s="2">
        <f t="shared" si="139"/>
        <v>3.95330625869812</v>
      </c>
      <c r="AQ144" s="2">
        <f t="shared" si="140"/>
        <v>0.1007748674879</v>
      </c>
      <c r="AR144" s="2">
        <f t="shared" si="141"/>
        <v>0.518788390678189</v>
      </c>
      <c r="AS144" s="2">
        <f t="shared" si="142"/>
        <v>0.806989094677753</v>
      </c>
      <c r="AT144" s="2">
        <f t="shared" si="143"/>
        <v>0.10851777631266</v>
      </c>
      <c r="AU144" s="2">
        <f t="shared" si="144"/>
        <v>0.342501169242698</v>
      </c>
      <c r="AV144" s="2">
        <f t="shared" si="145"/>
        <v>0.0885747558685467</v>
      </c>
      <c r="AW144" s="2">
        <f t="shared" si="146"/>
        <v>0.561262107393669</v>
      </c>
      <c r="AX144" s="2">
        <f t="shared" si="147"/>
        <v>-0.0118455515669</v>
      </c>
      <c r="AY144" s="7">
        <f t="shared" si="148"/>
        <v>1.04967755061567</v>
      </c>
      <c r="AZ144" s="2">
        <f t="shared" si="149"/>
        <v>0.125536553290634</v>
      </c>
      <c r="BA144" s="2">
        <f t="shared" si="150"/>
        <v>0.627945034053433</v>
      </c>
      <c r="BB144" s="2">
        <f t="shared" si="151"/>
        <v>0.0817273387976107</v>
      </c>
      <c r="BC144" s="2">
        <f t="shared" si="152"/>
        <v>0.586928450902916</v>
      </c>
      <c r="BD144" s="2">
        <f t="shared" si="153"/>
        <v>0.0752832790147294</v>
      </c>
      <c r="BE144" s="2">
        <f t="shared" si="154"/>
        <v>-0.029150578354884</v>
      </c>
      <c r="BF144" s="2">
        <f t="shared" si="155"/>
        <v>0.345740567528378</v>
      </c>
    </row>
    <row r="145" s="2" customFormat="1" spans="1:58">
      <c r="A145" s="5">
        <v>188</v>
      </c>
      <c r="B145" s="6">
        <v>0.0238724821482</v>
      </c>
      <c r="C145" s="6">
        <v>0.0500899836717</v>
      </c>
      <c r="D145" s="6">
        <v>0.0380754761622</v>
      </c>
      <c r="E145" s="6">
        <v>0.158464721782</v>
      </c>
      <c r="F145" s="6">
        <v>0.248062915014</v>
      </c>
      <c r="G145" s="2">
        <f t="shared" si="104"/>
        <v>4.95234569529619</v>
      </c>
      <c r="H145" s="2">
        <f t="shared" si="105"/>
        <v>0.1979729313423</v>
      </c>
      <c r="I145" s="2">
        <f t="shared" si="106"/>
        <v>0.663998009796291</v>
      </c>
      <c r="J145" s="2">
        <f t="shared" si="107"/>
        <v>-0.254483615835623</v>
      </c>
      <c r="K145" s="2">
        <f t="shared" si="108"/>
        <v>3.95234569529619</v>
      </c>
      <c r="L145" s="2">
        <f t="shared" si="109"/>
        <v>1.6199844677353</v>
      </c>
      <c r="M145" s="2">
        <f t="shared" si="110"/>
        <v>0.372058282946095</v>
      </c>
      <c r="N145" s="2">
        <f t="shared" si="111"/>
        <v>0.343523346943529</v>
      </c>
      <c r="O145" s="2">
        <f t="shared" si="112"/>
        <v>0.501248821115962</v>
      </c>
      <c r="P145" s="2">
        <f t="shared" si="113"/>
        <v>0.362565349150777</v>
      </c>
      <c r="Q145" s="2">
        <f t="shared" si="114"/>
        <v>0.733866706905795</v>
      </c>
      <c r="R145" s="2">
        <f t="shared" si="115"/>
        <v>6.51503119638641</v>
      </c>
      <c r="S145" s="2">
        <f t="shared" si="116"/>
        <v>0.545986254233577</v>
      </c>
      <c r="T145" s="2">
        <f t="shared" si="117"/>
        <v>-0.122458074982434</v>
      </c>
      <c r="U145" s="2">
        <f t="shared" si="118"/>
        <v>0.400668841279248</v>
      </c>
      <c r="V145" s="2">
        <f t="shared" si="119"/>
        <v>0.374400972724391</v>
      </c>
      <c r="W145" s="2">
        <f t="shared" si="120"/>
        <v>0.2099874388518</v>
      </c>
      <c r="X145" s="2">
        <f t="shared" si="121"/>
        <v>0.392559282455214</v>
      </c>
      <c r="Y145" s="2">
        <f t="shared" si="122"/>
        <v>1.11079552884669</v>
      </c>
      <c r="Z145" s="2">
        <f t="shared" si="123"/>
        <v>1.55245591468029</v>
      </c>
      <c r="AA145" s="2">
        <f t="shared" si="124"/>
        <v>3.15366399131695</v>
      </c>
      <c r="AB145" s="2">
        <f t="shared" si="125"/>
        <v>0.1430691955881</v>
      </c>
      <c r="AC145" s="2">
        <f t="shared" si="126"/>
        <v>1.56541413271315</v>
      </c>
      <c r="AD145" s="2">
        <f t="shared" si="127"/>
        <v>0.089598193232</v>
      </c>
      <c r="AE145" s="2">
        <f t="shared" si="128"/>
        <v>0.22039877519314</v>
      </c>
      <c r="AF145" s="2">
        <f t="shared" si="129"/>
        <v>0.140525200757199</v>
      </c>
      <c r="AG145" s="7">
        <f t="shared" si="130"/>
        <v>0.148255038669322</v>
      </c>
      <c r="AH145" s="2">
        <f t="shared" si="131"/>
        <v>44.815041052796</v>
      </c>
      <c r="AI145" s="2">
        <f t="shared" si="132"/>
        <v>0.565414132713149</v>
      </c>
      <c r="AJ145" s="2">
        <f t="shared" si="133"/>
        <v>0.353010739676386</v>
      </c>
      <c r="AK145" s="2">
        <f t="shared" si="134"/>
        <v>0.170958817628685</v>
      </c>
      <c r="AL145" s="2">
        <f t="shared" si="135"/>
        <v>0.183457782813419</v>
      </c>
      <c r="AM145" s="2">
        <f t="shared" si="136"/>
        <v>6.51503119638641</v>
      </c>
      <c r="AN145" s="2">
        <f t="shared" si="137"/>
        <v>0.1203892456198</v>
      </c>
      <c r="AO145" s="2">
        <f t="shared" si="138"/>
        <v>0.612542608988213</v>
      </c>
      <c r="AP145" s="2">
        <f t="shared" si="139"/>
        <v>4.16185791365935</v>
      </c>
      <c r="AQ145" s="2">
        <f t="shared" si="140"/>
        <v>0.1083747381103</v>
      </c>
      <c r="AR145" s="2">
        <f t="shared" si="141"/>
        <v>0.519646573662945</v>
      </c>
      <c r="AS145" s="2">
        <f t="shared" si="142"/>
        <v>0.74423751698685</v>
      </c>
      <c r="AT145" s="2">
        <f t="shared" si="143"/>
        <v>0.109697877231269</v>
      </c>
      <c r="AU145" s="2">
        <f t="shared" si="144"/>
        <v>0.347040312679325</v>
      </c>
      <c r="AV145" s="2">
        <f t="shared" si="145"/>
        <v>0.0856392477975738</v>
      </c>
      <c r="AW145" s="2">
        <f t="shared" si="146"/>
        <v>0.557942371036259</v>
      </c>
      <c r="AX145" s="2">
        <f t="shared" si="147"/>
        <v>-0.0187765448783</v>
      </c>
      <c r="AY145" s="7">
        <f t="shared" si="148"/>
        <v>1.06068762748543</v>
      </c>
      <c r="AZ145" s="2">
        <f t="shared" si="149"/>
        <v>0.122860018915805</v>
      </c>
      <c r="BA145" s="2">
        <f t="shared" si="150"/>
        <v>0.619486222678001</v>
      </c>
      <c r="BB145" s="2">
        <f t="shared" si="151"/>
        <v>0.0782763530273591</v>
      </c>
      <c r="BC145" s="2">
        <f t="shared" si="152"/>
        <v>0.614720829383573</v>
      </c>
      <c r="BD145" s="2">
        <f t="shared" si="153"/>
        <v>0.0715641970134924</v>
      </c>
      <c r="BE145" s="2">
        <f t="shared" si="154"/>
        <v>-0.040043193197988</v>
      </c>
      <c r="BF145" s="2">
        <f t="shared" si="155"/>
        <v>0.331926861137364</v>
      </c>
    </row>
    <row r="146" s="2" customFormat="1" spans="1:58">
      <c r="A146" s="5">
        <v>167</v>
      </c>
      <c r="B146" s="6">
        <v>0.0300786802061</v>
      </c>
      <c r="C146" s="6">
        <v>0.0517126034203</v>
      </c>
      <c r="D146" s="6">
        <v>0.0553715293193</v>
      </c>
      <c r="E146" s="6">
        <v>0.124038249162</v>
      </c>
      <c r="F146" s="6">
        <v>0.171962991981</v>
      </c>
      <c r="G146" s="2">
        <f t="shared" si="104"/>
        <v>3.3253594019112</v>
      </c>
      <c r="H146" s="2">
        <f t="shared" si="105"/>
        <v>0.1202503885607</v>
      </c>
      <c r="I146" s="2">
        <f t="shared" si="106"/>
        <v>0.537610678290391</v>
      </c>
      <c r="J146" s="2">
        <f t="shared" si="107"/>
        <v>-0.429548496143388</v>
      </c>
      <c r="K146" s="2">
        <f t="shared" si="108"/>
        <v>2.3253594019112</v>
      </c>
      <c r="L146" s="2">
        <f t="shared" si="109"/>
        <v>1.11809572279408</v>
      </c>
      <c r="M146" s="2">
        <f t="shared" si="110"/>
        <v>0.249249227122308</v>
      </c>
      <c r="N146" s="2">
        <f t="shared" si="111"/>
        <v>0.21257918134913</v>
      </c>
      <c r="O146" s="2">
        <f t="shared" si="112"/>
        <v>0.363563521898009</v>
      </c>
      <c r="P146" s="2">
        <f t="shared" si="113"/>
        <v>0.254259499249883</v>
      </c>
      <c r="Q146" s="2">
        <f t="shared" si="114"/>
        <v>0.512862991484198</v>
      </c>
      <c r="R146" s="2">
        <f t="shared" si="115"/>
        <v>3.10562113950971</v>
      </c>
      <c r="S146" s="2">
        <f t="shared" si="116"/>
        <v>0.34917129574081</v>
      </c>
      <c r="T146" s="2">
        <f t="shared" si="117"/>
        <v>-0.457009616240244</v>
      </c>
      <c r="U146" s="2">
        <f t="shared" si="118"/>
        <v>0.240449461521356</v>
      </c>
      <c r="V146" s="2">
        <f t="shared" si="119"/>
        <v>0.204682201375761</v>
      </c>
      <c r="W146" s="2">
        <f t="shared" si="120"/>
        <v>0.1165914626617</v>
      </c>
      <c r="X146" s="2">
        <f t="shared" si="121"/>
        <v>0.244531074348839</v>
      </c>
      <c r="Y146" s="2">
        <f t="shared" si="122"/>
        <v>1.00641094563016</v>
      </c>
      <c r="Z146" s="2">
        <f t="shared" si="123"/>
        <v>0.762277259545079</v>
      </c>
      <c r="AA146" s="2">
        <f t="shared" si="124"/>
        <v>2.95402145901815</v>
      </c>
      <c r="AB146" s="2">
        <f t="shared" si="125"/>
        <v>0.11366726065015</v>
      </c>
      <c r="AC146" s="2">
        <f t="shared" si="126"/>
        <v>1.3863706811631</v>
      </c>
      <c r="AD146" s="2">
        <f t="shared" si="127"/>
        <v>0.047924742819</v>
      </c>
      <c r="AE146" s="2">
        <f t="shared" si="128"/>
        <v>0.161907236043809</v>
      </c>
      <c r="AF146" s="2">
        <f t="shared" si="129"/>
        <v>0.0880872445245885</v>
      </c>
      <c r="AG146" s="7">
        <f t="shared" si="130"/>
        <v>0.0903103041966057</v>
      </c>
      <c r="AH146" s="2">
        <f t="shared" si="131"/>
        <v>32.6689311736833</v>
      </c>
      <c r="AI146" s="2">
        <f t="shared" si="132"/>
        <v>0.386370681163098</v>
      </c>
      <c r="AJ146" s="2">
        <f t="shared" si="133"/>
        <v>0.25011239288664</v>
      </c>
      <c r="AK146" s="2">
        <f t="shared" si="134"/>
        <v>0.0988363842540886</v>
      </c>
      <c r="AL146" s="2">
        <f t="shared" si="135"/>
        <v>0.121913487627123</v>
      </c>
      <c r="AM146" s="2">
        <f t="shared" si="136"/>
        <v>3.10562113950971</v>
      </c>
      <c r="AN146" s="2">
        <f t="shared" si="137"/>
        <v>0.0686667198427</v>
      </c>
      <c r="AO146" s="2">
        <f t="shared" si="138"/>
        <v>0.38273677401512</v>
      </c>
      <c r="AP146" s="2">
        <f t="shared" si="139"/>
        <v>2.24010878310283</v>
      </c>
      <c r="AQ146" s="2">
        <f t="shared" si="140"/>
        <v>0.0723256457417</v>
      </c>
      <c r="AR146" s="2">
        <f t="shared" si="141"/>
        <v>0.411523726223926</v>
      </c>
      <c r="AS146" s="2">
        <f t="shared" si="142"/>
        <v>0.697932607364744</v>
      </c>
      <c r="AT146" s="2">
        <f t="shared" si="143"/>
        <v>0.148721726870688</v>
      </c>
      <c r="AU146" s="2">
        <f t="shared" si="144"/>
        <v>0.356725080411399</v>
      </c>
      <c r="AV146" s="2">
        <f t="shared" si="145"/>
        <v>0.157586284351083</v>
      </c>
      <c r="AW146" s="2">
        <f t="shared" si="146"/>
        <v>0.489403295977514</v>
      </c>
      <c r="AX146" s="2">
        <f t="shared" si="147"/>
        <v>-0.0244009029227</v>
      </c>
      <c r="AY146" s="7">
        <f t="shared" si="148"/>
        <v>0.969572440116041</v>
      </c>
      <c r="AZ146" s="2">
        <f t="shared" si="149"/>
        <v>0.0783930492801719</v>
      </c>
      <c r="BA146" s="2">
        <f t="shared" si="150"/>
        <v>0.785923078164217</v>
      </c>
      <c r="BB146" s="2">
        <f t="shared" si="151"/>
        <v>0.0330991357267384</v>
      </c>
      <c r="BC146" s="2">
        <f t="shared" si="152"/>
        <v>0.415133401611847</v>
      </c>
      <c r="BD146" s="2">
        <f t="shared" si="153"/>
        <v>0.0467908371521383</v>
      </c>
      <c r="BE146" s="2">
        <f t="shared" si="154"/>
        <v>-0.043816377697692</v>
      </c>
      <c r="BF146" s="2">
        <f t="shared" si="155"/>
        <v>0.301160751789149</v>
      </c>
    </row>
    <row r="147" s="2" customFormat="1" spans="1:58">
      <c r="A147" s="5">
        <v>174.5</v>
      </c>
      <c r="B147" s="6">
        <v>0.0281266858802</v>
      </c>
      <c r="C147" s="6">
        <v>0.0495915931136</v>
      </c>
      <c r="D147" s="6">
        <v>0.0502765703744</v>
      </c>
      <c r="E147" s="6">
        <v>0.126674611087</v>
      </c>
      <c r="F147" s="6">
        <v>0.18071952736</v>
      </c>
      <c r="G147" s="2">
        <f t="shared" si="104"/>
        <v>3.64415651955411</v>
      </c>
      <c r="H147" s="2">
        <f t="shared" si="105"/>
        <v>0.1311279342464</v>
      </c>
      <c r="I147" s="2">
        <f t="shared" si="106"/>
        <v>0.569351293054175</v>
      </c>
      <c r="J147" s="2">
        <f t="shared" si="107"/>
        <v>-0.391499126392397</v>
      </c>
      <c r="K147" s="2">
        <f t="shared" si="108"/>
        <v>2.64415651955411</v>
      </c>
      <c r="L147" s="2">
        <f t="shared" si="109"/>
        <v>1.22696941015078</v>
      </c>
      <c r="M147" s="2">
        <f t="shared" si="110"/>
        <v>0.269326176002971</v>
      </c>
      <c r="N147" s="2">
        <f t="shared" si="111"/>
        <v>0.23225190708355</v>
      </c>
      <c r="O147" s="2">
        <f t="shared" si="112"/>
        <v>0.389710658362121</v>
      </c>
      <c r="P147" s="2">
        <f t="shared" si="113"/>
        <v>0.27323590342177</v>
      </c>
      <c r="Q147" s="2">
        <f t="shared" si="114"/>
        <v>0.564697664873905</v>
      </c>
      <c r="R147" s="2">
        <f t="shared" si="115"/>
        <v>3.59450785951023</v>
      </c>
      <c r="S147" s="2">
        <f t="shared" si="116"/>
        <v>0.386995755149664</v>
      </c>
      <c r="T147" s="2">
        <f t="shared" si="117"/>
        <v>-0.397291127305274</v>
      </c>
      <c r="U147" s="2">
        <f t="shared" si="118"/>
        <v>0.267668235281733</v>
      </c>
      <c r="V147" s="2">
        <f t="shared" si="119"/>
        <v>0.230727126359692</v>
      </c>
      <c r="W147" s="2">
        <f t="shared" si="120"/>
        <v>0.1304429569856</v>
      </c>
      <c r="X147" s="2">
        <f t="shared" si="121"/>
        <v>0.271405293259022</v>
      </c>
      <c r="Y147" s="2">
        <f t="shared" si="122"/>
        <v>1.0318418797829</v>
      </c>
      <c r="Z147" s="2">
        <f t="shared" si="123"/>
        <v>0.895918737580867</v>
      </c>
      <c r="AA147" s="2">
        <f t="shared" si="124"/>
        <v>2.99305710610187</v>
      </c>
      <c r="AB147" s="2">
        <f t="shared" si="125"/>
        <v>0.1154980488672</v>
      </c>
      <c r="AC147" s="2">
        <f t="shared" si="126"/>
        <v>1.4266436329209</v>
      </c>
      <c r="AD147" s="2">
        <f t="shared" si="127"/>
        <v>0.054044916273</v>
      </c>
      <c r="AE147" s="2">
        <f t="shared" si="128"/>
        <v>0.175816352732172</v>
      </c>
      <c r="AF147" s="2">
        <f t="shared" si="129"/>
        <v>0.0974781004268881</v>
      </c>
      <c r="AG147" s="7">
        <f t="shared" si="130"/>
        <v>0.100406196365793</v>
      </c>
      <c r="AH147" s="2">
        <f t="shared" si="131"/>
        <v>35.5324575646361</v>
      </c>
      <c r="AI147" s="2">
        <f t="shared" si="132"/>
        <v>0.426643632920901</v>
      </c>
      <c r="AJ147" s="2">
        <f t="shared" si="133"/>
        <v>0.273881228740775</v>
      </c>
      <c r="AK147" s="2">
        <f t="shared" si="134"/>
        <v>0.110899873009931</v>
      </c>
      <c r="AL147" s="2">
        <f t="shared" si="135"/>
        <v>0.134131127713723</v>
      </c>
      <c r="AM147" s="2">
        <f t="shared" si="136"/>
        <v>3.59450785951023</v>
      </c>
      <c r="AN147" s="2">
        <f t="shared" si="137"/>
        <v>0.0763980407126</v>
      </c>
      <c r="AO147" s="2">
        <f t="shared" si="138"/>
        <v>0.431746429052611</v>
      </c>
      <c r="AP147" s="2">
        <f t="shared" si="139"/>
        <v>2.51955553339614</v>
      </c>
      <c r="AQ147" s="2">
        <f t="shared" si="140"/>
        <v>0.0770830179734</v>
      </c>
      <c r="AR147" s="2">
        <f t="shared" si="141"/>
        <v>0.437310250838984</v>
      </c>
      <c r="AS147" s="2">
        <f t="shared" si="142"/>
        <v>0.70741233373131</v>
      </c>
      <c r="AT147" s="2">
        <f t="shared" si="143"/>
        <v>0.138917577732884</v>
      </c>
      <c r="AU147" s="2">
        <f t="shared" si="144"/>
        <v>0.354845025691164</v>
      </c>
      <c r="AV147" s="2">
        <f t="shared" si="145"/>
        <v>0.140566641702564</v>
      </c>
      <c r="AW147" s="2">
        <f t="shared" si="146"/>
        <v>0.505267898384826</v>
      </c>
      <c r="AX147" s="2">
        <f t="shared" si="147"/>
        <v>-0.0230381017004</v>
      </c>
      <c r="AY147" s="7">
        <f t="shared" si="148"/>
        <v>0.994776267431218</v>
      </c>
      <c r="AZ147" s="2">
        <f t="shared" si="149"/>
        <v>0.0861229512035923</v>
      </c>
      <c r="BA147" s="2">
        <f t="shared" si="150"/>
        <v>0.735927197232368</v>
      </c>
      <c r="BB147" s="2">
        <f t="shared" si="151"/>
        <v>0.0396882691944792</v>
      </c>
      <c r="BC147" s="2">
        <f t="shared" si="152"/>
        <v>0.438600970069375</v>
      </c>
      <c r="BD147" s="2">
        <f t="shared" si="153"/>
        <v>0.0504773803932712</v>
      </c>
      <c r="BE147" s="2">
        <f t="shared" si="154"/>
        <v>-0.042424828605384</v>
      </c>
      <c r="BF147" s="2">
        <f t="shared" si="155"/>
        <v>0.308801182814637</v>
      </c>
    </row>
    <row r="148" s="2" customFormat="1" spans="1:58">
      <c r="A148" s="5">
        <v>183</v>
      </c>
      <c r="B148" s="6">
        <v>0.028246715238</v>
      </c>
      <c r="C148" s="6">
        <v>0.0494529032161</v>
      </c>
      <c r="D148" s="6">
        <v>0.0505763065853</v>
      </c>
      <c r="E148" s="6">
        <v>0.123469429514</v>
      </c>
      <c r="F148" s="6">
        <v>0.176172424459</v>
      </c>
      <c r="G148" s="2">
        <f t="shared" si="104"/>
        <v>3.56242835105472</v>
      </c>
      <c r="H148" s="2">
        <f t="shared" si="105"/>
        <v>0.1267195212429</v>
      </c>
      <c r="I148" s="2">
        <f t="shared" si="106"/>
        <v>0.561636951616424</v>
      </c>
      <c r="J148" s="2">
        <f t="shared" si="107"/>
        <v>-0.401059226710966</v>
      </c>
      <c r="K148" s="2">
        <f t="shared" si="108"/>
        <v>2.56242835105472</v>
      </c>
      <c r="L148" s="2">
        <f t="shared" si="109"/>
        <v>1.19964763485862</v>
      </c>
      <c r="M148" s="2">
        <f t="shared" si="110"/>
        <v>0.26195238040183</v>
      </c>
      <c r="N148" s="2">
        <f t="shared" si="111"/>
        <v>0.224763402492268</v>
      </c>
      <c r="O148" s="2">
        <f t="shared" si="112"/>
        <v>0.381185140322554</v>
      </c>
      <c r="P148" s="2">
        <f t="shared" si="113"/>
        <v>0.266777745738199</v>
      </c>
      <c r="Q148" s="2">
        <f t="shared" si="114"/>
        <v>0.553899981249122</v>
      </c>
      <c r="R148" s="2">
        <f t="shared" si="115"/>
        <v>3.48329952013943</v>
      </c>
      <c r="S148" s="2">
        <f t="shared" si="116"/>
        <v>0.376708402740186</v>
      </c>
      <c r="T148" s="2">
        <f t="shared" si="117"/>
        <v>-0.410441271497112</v>
      </c>
      <c r="U148" s="2">
        <f t="shared" si="118"/>
        <v>0.259228766096141</v>
      </c>
      <c r="V148" s="2">
        <f t="shared" si="119"/>
        <v>0.222281565494687</v>
      </c>
      <c r="W148" s="2">
        <f t="shared" si="120"/>
        <v>0.1255961178737</v>
      </c>
      <c r="X148" s="2">
        <f t="shared" si="121"/>
        <v>0.263756871635992</v>
      </c>
      <c r="Y148" s="2">
        <f t="shared" si="122"/>
        <v>1.02659630880357</v>
      </c>
      <c r="Z148" s="2">
        <f t="shared" si="123"/>
        <v>0.866359965317362</v>
      </c>
      <c r="AA148" s="2">
        <f t="shared" si="124"/>
        <v>2.98656414393816</v>
      </c>
      <c r="AB148" s="2">
        <f t="shared" si="125"/>
        <v>0.11337436552215</v>
      </c>
      <c r="AC148" s="2">
        <f t="shared" si="126"/>
        <v>1.42685055849411</v>
      </c>
      <c r="AD148" s="2">
        <f t="shared" si="127"/>
        <v>0.052702994945</v>
      </c>
      <c r="AE148" s="2">
        <f t="shared" si="128"/>
        <v>0.175886626805309</v>
      </c>
      <c r="AF148" s="2">
        <f t="shared" si="129"/>
        <v>0.0962795513253635</v>
      </c>
      <c r="AG148" s="7">
        <f t="shared" si="130"/>
        <v>0.0988623744801748</v>
      </c>
      <c r="AH148" s="2">
        <f t="shared" si="131"/>
        <v>35.5469608759933</v>
      </c>
      <c r="AI148" s="2">
        <f t="shared" si="132"/>
        <v>0.42685055849411</v>
      </c>
      <c r="AJ148" s="2">
        <f t="shared" si="133"/>
        <v>0.274002381163907</v>
      </c>
      <c r="AK148" s="2">
        <f t="shared" si="134"/>
        <v>0.108778301276017</v>
      </c>
      <c r="AL148" s="2">
        <f t="shared" si="135"/>
        <v>0.133006760824246</v>
      </c>
      <c r="AM148" s="2">
        <f t="shared" si="136"/>
        <v>3.48329952013943</v>
      </c>
      <c r="AN148" s="2">
        <f t="shared" si="137"/>
        <v>0.0728931229287</v>
      </c>
      <c r="AO148" s="2">
        <f t="shared" si="138"/>
        <v>0.418815907602078</v>
      </c>
      <c r="AP148" s="2">
        <f t="shared" si="139"/>
        <v>2.44125041645264</v>
      </c>
      <c r="AQ148" s="2">
        <f t="shared" si="140"/>
        <v>0.0740165262979</v>
      </c>
      <c r="AR148" s="2">
        <f t="shared" si="141"/>
        <v>0.428033355375943</v>
      </c>
      <c r="AS148" s="2">
        <f t="shared" si="142"/>
        <v>0.723017382538969</v>
      </c>
      <c r="AT148" s="2">
        <f t="shared" si="143"/>
        <v>0.141660400787148</v>
      </c>
      <c r="AU148" s="2">
        <f t="shared" si="144"/>
        <v>0.353684571226941</v>
      </c>
      <c r="AV148" s="2">
        <f t="shared" si="145"/>
        <v>0.144413717737178</v>
      </c>
      <c r="AW148" s="2">
        <f t="shared" si="146"/>
        <v>0.503036233695462</v>
      </c>
      <c r="AX148" s="2">
        <f t="shared" si="147"/>
        <v>-0.0213135313529</v>
      </c>
      <c r="AY148" s="7">
        <f t="shared" si="148"/>
        <v>0.99113472527215</v>
      </c>
      <c r="AZ148" s="2">
        <f t="shared" si="149"/>
        <v>0.0852196816112161</v>
      </c>
      <c r="BA148" s="2">
        <f t="shared" si="150"/>
        <v>0.75526445416529</v>
      </c>
      <c r="BB148" s="2">
        <f t="shared" si="151"/>
        <v>0.0390373338400779</v>
      </c>
      <c r="BC148" s="2">
        <f t="shared" si="152"/>
        <v>0.427339869392281</v>
      </c>
      <c r="BD148" s="2">
        <f t="shared" si="153"/>
        <v>0.0505848502753315</v>
      </c>
      <c r="BE148" s="2">
        <f t="shared" si="154"/>
        <v>-0.039573468303924</v>
      </c>
      <c r="BF148" s="2">
        <f t="shared" si="155"/>
        <v>0.313167832527929</v>
      </c>
    </row>
    <row r="149" s="2" customFormat="1" spans="1:58">
      <c r="A149" s="12">
        <v>199.5</v>
      </c>
      <c r="B149" s="6">
        <v>0.0236220165187</v>
      </c>
      <c r="C149" s="6">
        <v>0.0482231104182</v>
      </c>
      <c r="D149" s="6">
        <v>0.0372492431589</v>
      </c>
      <c r="E149" s="6">
        <v>0.146588384052</v>
      </c>
      <c r="F149" s="6">
        <v>0.228564514329</v>
      </c>
      <c r="G149" s="2">
        <f t="shared" si="104"/>
        <v>4.73972981723586</v>
      </c>
      <c r="H149" s="2">
        <f t="shared" si="105"/>
        <v>0.1803414039108</v>
      </c>
      <c r="I149" s="2">
        <f t="shared" si="106"/>
        <v>0.651551542723459</v>
      </c>
      <c r="J149" s="2">
        <f t="shared" si="107"/>
        <v>-0.274886113124987</v>
      </c>
      <c r="K149" s="2">
        <f t="shared" si="108"/>
        <v>3.73972981723586</v>
      </c>
      <c r="L149" s="2">
        <f t="shared" si="109"/>
        <v>1.5609698048934</v>
      </c>
      <c r="M149" s="2">
        <f t="shared" si="110"/>
        <v>0.348244613132497</v>
      </c>
      <c r="N149" s="2">
        <f t="shared" si="111"/>
        <v>0.316104281436359</v>
      </c>
      <c r="O149" s="2">
        <f t="shared" si="112"/>
        <v>0.47894220596933</v>
      </c>
      <c r="P149" s="2">
        <f t="shared" si="113"/>
        <v>0.342785238793907</v>
      </c>
      <c r="Q149" s="2">
        <f t="shared" si="114"/>
        <v>0.719734271762848</v>
      </c>
      <c r="R149" s="2">
        <f t="shared" si="115"/>
        <v>6.1360847884607</v>
      </c>
      <c r="S149" s="2">
        <f t="shared" si="116"/>
        <v>0.521180235853752</v>
      </c>
      <c r="T149" s="2">
        <f t="shared" si="117"/>
        <v>-0.151854658312977</v>
      </c>
      <c r="U149" s="2">
        <f t="shared" si="118"/>
        <v>0.374729369835961</v>
      </c>
      <c r="V149" s="2">
        <f t="shared" si="119"/>
        <v>0.343628533678643</v>
      </c>
      <c r="W149" s="2">
        <f t="shared" si="120"/>
        <v>0.1913152711701</v>
      </c>
      <c r="X149" s="2">
        <f t="shared" si="121"/>
        <v>0.371074328636088</v>
      </c>
      <c r="Y149" s="2">
        <f t="shared" si="122"/>
        <v>1.10441580564697</v>
      </c>
      <c r="Z149" s="2">
        <f t="shared" si="123"/>
        <v>1.47711218729808</v>
      </c>
      <c r="AA149" s="2">
        <f t="shared" si="124"/>
        <v>3.13135533892986</v>
      </c>
      <c r="AB149" s="2">
        <f t="shared" si="125"/>
        <v>0.13290687874395</v>
      </c>
      <c r="AC149" s="2">
        <f t="shared" si="126"/>
        <v>1.55922664546135</v>
      </c>
      <c r="AD149" s="2">
        <f t="shared" si="127"/>
        <v>0.081976130277</v>
      </c>
      <c r="AE149" s="2">
        <f t="shared" si="128"/>
        <v>0.218513919606576</v>
      </c>
      <c r="AF149" s="2">
        <f t="shared" si="129"/>
        <v>0.13383917790022</v>
      </c>
      <c r="AG149" s="7">
        <f t="shared" si="130"/>
        <v>0.140505956893909</v>
      </c>
      <c r="AH149" s="2">
        <f t="shared" si="131"/>
        <v>44.4189958252824</v>
      </c>
      <c r="AI149" s="2">
        <f t="shared" si="132"/>
        <v>0.55922664546135</v>
      </c>
      <c r="AJ149" s="2">
        <f t="shared" si="133"/>
        <v>0.349569458403043</v>
      </c>
      <c r="AK149" s="2">
        <f t="shared" si="134"/>
        <v>0.160566709873246</v>
      </c>
      <c r="AL149" s="2">
        <f t="shared" si="135"/>
        <v>0.177691854811967</v>
      </c>
      <c r="AM149" s="2">
        <f t="shared" si="136"/>
        <v>6.1360847884607</v>
      </c>
      <c r="AN149" s="2">
        <f t="shared" si="137"/>
        <v>0.1093391408931</v>
      </c>
      <c r="AO149" s="2">
        <f t="shared" si="138"/>
        <v>0.594759313160985</v>
      </c>
      <c r="AP149" s="2">
        <f t="shared" si="139"/>
        <v>3.93533859001308</v>
      </c>
      <c r="AQ149" s="2">
        <f t="shared" si="140"/>
        <v>0.0983652736338</v>
      </c>
      <c r="AR149" s="2">
        <f t="shared" si="141"/>
        <v>0.504925409567385</v>
      </c>
      <c r="AS149" s="2">
        <f t="shared" si="142"/>
        <v>0.74974185463143</v>
      </c>
      <c r="AT149" s="2">
        <f t="shared" si="143"/>
        <v>0.113901377064262</v>
      </c>
      <c r="AU149" s="2">
        <f t="shared" si="144"/>
        <v>0.34623686984003</v>
      </c>
      <c r="AV149" s="2">
        <f t="shared" si="145"/>
        <v>0.0903226230101817</v>
      </c>
      <c r="AW149" s="2">
        <f t="shared" si="146"/>
        <v>0.554227273106646</v>
      </c>
      <c r="AX149" s="2">
        <f t="shared" si="147"/>
        <v>-0.0163891433568</v>
      </c>
      <c r="AY149" s="7">
        <f t="shared" si="148"/>
        <v>1.06085051475327</v>
      </c>
      <c r="AZ149" s="2">
        <f t="shared" si="149"/>
        <v>0.117348719542668</v>
      </c>
      <c r="BA149" s="2">
        <f t="shared" si="150"/>
        <v>0.640179678094896</v>
      </c>
      <c r="BB149" s="2">
        <f t="shared" si="151"/>
        <v>0.0715807421681839</v>
      </c>
      <c r="BC149" s="2">
        <f t="shared" si="152"/>
        <v>0.564826879818561</v>
      </c>
      <c r="BD149" s="2">
        <f t="shared" si="153"/>
        <v>0.0669460697357498</v>
      </c>
      <c r="BE149" s="2">
        <f t="shared" si="154"/>
        <v>-0.035404199269848</v>
      </c>
      <c r="BF149" s="2">
        <f t="shared" si="155"/>
        <v>0.33537472521851</v>
      </c>
    </row>
    <row r="150" s="2" customFormat="1" spans="1:58">
      <c r="A150" s="12">
        <v>232.5</v>
      </c>
      <c r="B150" s="6">
        <v>0.0228147848187</v>
      </c>
      <c r="C150" s="6">
        <v>0.0453214906915</v>
      </c>
      <c r="D150" s="6">
        <v>0.0324080151362</v>
      </c>
      <c r="E150" s="6">
        <v>0.152570621618</v>
      </c>
      <c r="F150" s="6">
        <v>0.253376300727</v>
      </c>
      <c r="G150" s="2">
        <f t="shared" si="104"/>
        <v>5.59064357462806</v>
      </c>
      <c r="H150" s="2">
        <f t="shared" si="105"/>
        <v>0.2080548100355</v>
      </c>
      <c r="I150" s="2">
        <f t="shared" si="106"/>
        <v>0.696539499162209</v>
      </c>
      <c r="J150" s="2">
        <f t="shared" si="107"/>
        <v>-0.196976034708666</v>
      </c>
      <c r="K150" s="2">
        <f t="shared" si="108"/>
        <v>4.59064357462806</v>
      </c>
      <c r="L150" s="2">
        <f t="shared" si="109"/>
        <v>1.78817353081395</v>
      </c>
      <c r="M150" s="2">
        <f t="shared" si="110"/>
        <v>0.390738798086554</v>
      </c>
      <c r="N150" s="2">
        <f t="shared" si="111"/>
        <v>0.3641896739962</v>
      </c>
      <c r="O150" s="2">
        <f t="shared" si="112"/>
        <v>0.526149425953932</v>
      </c>
      <c r="P150" s="2">
        <f t="shared" si="113"/>
        <v>0.380681485208324</v>
      </c>
      <c r="Q150" s="2">
        <f t="shared" si="114"/>
        <v>0.773199484105257</v>
      </c>
      <c r="R150" s="2">
        <f t="shared" si="115"/>
        <v>7.81832209291882</v>
      </c>
      <c r="S150" s="2">
        <f t="shared" si="116"/>
        <v>0.574993785478956</v>
      </c>
      <c r="T150" s="2">
        <f t="shared" si="117"/>
        <v>-0.03188597247917</v>
      </c>
      <c r="U150" s="2">
        <f t="shared" si="118"/>
        <v>0.42181094951239</v>
      </c>
      <c r="V150" s="2">
        <f t="shared" si="119"/>
        <v>0.398919985625267</v>
      </c>
      <c r="W150" s="2">
        <f t="shared" si="120"/>
        <v>0.2209682855908</v>
      </c>
      <c r="X150" s="2">
        <f t="shared" si="121"/>
        <v>0.413343155770638</v>
      </c>
      <c r="Y150" s="2">
        <f t="shared" si="122"/>
        <v>1.12836141555144</v>
      </c>
      <c r="Z150" s="2">
        <f t="shared" si="123"/>
        <v>1.79612626555362</v>
      </c>
      <c r="AA150" s="2">
        <f t="shared" si="124"/>
        <v>3.19872244811475</v>
      </c>
      <c r="AB150" s="2">
        <f t="shared" si="125"/>
        <v>0.1428921579316</v>
      </c>
      <c r="AC150" s="2">
        <f t="shared" si="126"/>
        <v>1.66071487446248</v>
      </c>
      <c r="AD150" s="2">
        <f t="shared" si="127"/>
        <v>0.100805679109</v>
      </c>
      <c r="AE150" s="2">
        <f t="shared" si="128"/>
        <v>0.248322313978104</v>
      </c>
      <c r="AF150" s="2">
        <f t="shared" si="129"/>
        <v>0.158215990021493</v>
      </c>
      <c r="AG150" s="7">
        <f t="shared" si="130"/>
        <v>0.166906597874525</v>
      </c>
      <c r="AH150" s="2">
        <f t="shared" si="131"/>
        <v>50.7248156933088</v>
      </c>
      <c r="AI150" s="2">
        <f t="shared" si="132"/>
        <v>0.660714874462484</v>
      </c>
      <c r="AJ150" s="2">
        <f t="shared" si="133"/>
        <v>0.405055856032568</v>
      </c>
      <c r="AK150" s="2">
        <f t="shared" si="134"/>
        <v>0.192430054419443</v>
      </c>
      <c r="AL150" s="2">
        <f t="shared" si="135"/>
        <v>0.206617587532629</v>
      </c>
      <c r="AM150" s="2">
        <f t="shared" si="136"/>
        <v>7.81832209291882</v>
      </c>
      <c r="AN150" s="2">
        <f t="shared" si="137"/>
        <v>0.1201626064818</v>
      </c>
      <c r="AO150" s="2">
        <f t="shared" si="138"/>
        <v>0.64960261676851</v>
      </c>
      <c r="AP150" s="2">
        <f t="shared" si="139"/>
        <v>4.70780518266228</v>
      </c>
      <c r="AQ150" s="2">
        <f t="shared" si="140"/>
        <v>0.1072491309265</v>
      </c>
      <c r="AR150" s="2">
        <f t="shared" si="141"/>
        <v>0.541957583224763</v>
      </c>
      <c r="AS150" s="2">
        <f t="shared" si="142"/>
        <v>0.838910556790129</v>
      </c>
      <c r="AT150" s="2">
        <f t="shared" si="143"/>
        <v>0.100431338383602</v>
      </c>
      <c r="AU150" s="2">
        <f t="shared" si="144"/>
        <v>0.338092844990814</v>
      </c>
      <c r="AV150" s="2">
        <f t="shared" si="145"/>
        <v>0.0739309914527651</v>
      </c>
      <c r="AW150" s="2">
        <f t="shared" si="146"/>
        <v>0.578016303826546</v>
      </c>
      <c r="AX150" s="2">
        <f t="shared" si="147"/>
        <v>-0.00644345181749999</v>
      </c>
      <c r="AY150" s="7">
        <f t="shared" si="148"/>
        <v>1.06206766165654</v>
      </c>
      <c r="AZ150" s="2">
        <f t="shared" si="149"/>
        <v>0.137796344342207</v>
      </c>
      <c r="BA150" s="2">
        <f t="shared" si="150"/>
        <v>0.607187654895418</v>
      </c>
      <c r="BB150" s="2">
        <f t="shared" si="151"/>
        <v>0.0983055471807241</v>
      </c>
      <c r="BC150" s="2">
        <f t="shared" si="152"/>
        <v>0.633014450135756</v>
      </c>
      <c r="BD150" s="2">
        <f t="shared" si="153"/>
        <v>0.0822378461279305</v>
      </c>
      <c r="BE150" s="2">
        <f t="shared" si="154"/>
        <v>-0.02214846632838</v>
      </c>
      <c r="BF150" s="2">
        <f t="shared" si="155"/>
        <v>0.356508588926807</v>
      </c>
    </row>
    <row r="151" s="2" customFormat="1" spans="1:58">
      <c r="A151" s="12">
        <v>190</v>
      </c>
      <c r="B151" s="6">
        <v>0.0236707172282</v>
      </c>
      <c r="C151" s="6">
        <v>0.047777615088</v>
      </c>
      <c r="D151" s="6">
        <v>0.0360196418945</v>
      </c>
      <c r="E151" s="6">
        <v>0.149860587676</v>
      </c>
      <c r="F151" s="6">
        <v>0.239496808205</v>
      </c>
      <c r="G151" s="2">
        <f t="shared" si="104"/>
        <v>5.0127409617219</v>
      </c>
      <c r="H151" s="2">
        <f t="shared" si="105"/>
        <v>0.191719193117</v>
      </c>
      <c r="I151" s="2">
        <f t="shared" si="106"/>
        <v>0.667372997983394</v>
      </c>
      <c r="J151" s="2">
        <f t="shared" si="107"/>
        <v>-0.248806675146543</v>
      </c>
      <c r="K151" s="2">
        <f t="shared" si="108"/>
        <v>4.0127409617219</v>
      </c>
      <c r="L151" s="2">
        <f t="shared" si="109"/>
        <v>1.63645805499411</v>
      </c>
      <c r="M151" s="2">
        <f t="shared" si="110"/>
        <v>0.36528404983947</v>
      </c>
      <c r="N151" s="2">
        <f t="shared" si="111"/>
        <v>0.335247945360115</v>
      </c>
      <c r="O151" s="2">
        <f t="shared" si="112"/>
        <v>0.497221062582499</v>
      </c>
      <c r="P151" s="2">
        <f t="shared" si="113"/>
        <v>0.357698494100058</v>
      </c>
      <c r="Q151" s="2">
        <f t="shared" si="114"/>
        <v>0.738530008778119</v>
      </c>
      <c r="R151" s="2">
        <f t="shared" si="115"/>
        <v>6.64906133454841</v>
      </c>
      <c r="S151" s="2">
        <f t="shared" si="116"/>
        <v>0.541962336592004</v>
      </c>
      <c r="T151" s="2">
        <f t="shared" si="117"/>
        <v>-0.112416742191123</v>
      </c>
      <c r="U151" s="2">
        <f t="shared" si="118"/>
        <v>0.393564507144356</v>
      </c>
      <c r="V151" s="2">
        <f t="shared" si="119"/>
        <v>0.365463124261451</v>
      </c>
      <c r="W151" s="2">
        <f t="shared" si="120"/>
        <v>0.2034771663105</v>
      </c>
      <c r="X151" s="2">
        <f t="shared" si="121"/>
        <v>0.387651897224095</v>
      </c>
      <c r="Y151" s="2">
        <f t="shared" si="122"/>
        <v>1.11289263128934</v>
      </c>
      <c r="Z151" s="2">
        <f t="shared" si="123"/>
        <v>1.57857738579792</v>
      </c>
      <c r="AA151" s="2">
        <f t="shared" si="124"/>
        <v>3.15454358938514</v>
      </c>
      <c r="AB151" s="2">
        <f t="shared" si="125"/>
        <v>0.13775822504975</v>
      </c>
      <c r="AC151" s="2">
        <f t="shared" si="126"/>
        <v>1.59813071548067</v>
      </c>
      <c r="AD151" s="2">
        <f t="shared" si="127"/>
        <v>0.089636220529</v>
      </c>
      <c r="AE151" s="2">
        <f t="shared" si="128"/>
        <v>0.230215790112783</v>
      </c>
      <c r="AF151" s="2">
        <f t="shared" si="129"/>
        <v>0.143651221128842</v>
      </c>
      <c r="AG151" s="7">
        <f t="shared" si="130"/>
        <v>0.151181438886342</v>
      </c>
      <c r="AH151" s="2">
        <f t="shared" si="131"/>
        <v>46.8834643423394</v>
      </c>
      <c r="AI151" s="2">
        <f t="shared" si="132"/>
        <v>0.598130715480673</v>
      </c>
      <c r="AJ151" s="2">
        <f t="shared" si="133"/>
        <v>0.371078341129077</v>
      </c>
      <c r="AK151" s="2">
        <f t="shared" si="134"/>
        <v>0.173373924919645</v>
      </c>
      <c r="AL151" s="2">
        <f t="shared" si="135"/>
        <v>0.189272077873624</v>
      </c>
      <c r="AM151" s="2">
        <f t="shared" si="136"/>
        <v>6.64906133454841</v>
      </c>
      <c r="AN151" s="2">
        <f t="shared" si="137"/>
        <v>0.1138409457815</v>
      </c>
      <c r="AO151" s="2">
        <f t="shared" si="138"/>
        <v>0.612442463862585</v>
      </c>
      <c r="AP151" s="2">
        <f t="shared" si="139"/>
        <v>4.16052408613432</v>
      </c>
      <c r="AQ151" s="2">
        <f t="shared" si="140"/>
        <v>0.102082972588</v>
      </c>
      <c r="AR151" s="2">
        <f t="shared" si="141"/>
        <v>0.516514374044867</v>
      </c>
      <c r="AS151" s="2">
        <f t="shared" si="142"/>
        <v>0.787381200267282</v>
      </c>
      <c r="AT151" s="2">
        <f t="shared" si="143"/>
        <v>0.10929715966262</v>
      </c>
      <c r="AU151" s="2">
        <f t="shared" si="144"/>
        <v>0.342824491096705</v>
      </c>
      <c r="AV151" s="2">
        <f t="shared" si="145"/>
        <v>0.0846769775887855</v>
      </c>
      <c r="AW151" s="2">
        <f t="shared" si="146"/>
        <v>0.563022417612016</v>
      </c>
      <c r="AX151" s="2">
        <f t="shared" si="147"/>
        <v>-0.012446752059</v>
      </c>
      <c r="AY151" s="7">
        <f t="shared" si="148"/>
        <v>1.06132913978166</v>
      </c>
      <c r="AZ151" s="2">
        <f t="shared" si="149"/>
        <v>0.125870358435321</v>
      </c>
      <c r="BA151" s="2">
        <f t="shared" si="150"/>
        <v>0.63032704425653</v>
      </c>
      <c r="BB151" s="2">
        <f t="shared" si="151"/>
        <v>0.0819719309935044</v>
      </c>
      <c r="BC151" s="2">
        <f t="shared" si="152"/>
        <v>0.594509024096963</v>
      </c>
      <c r="BD151" s="2">
        <f t="shared" si="153"/>
        <v>0.0737987959591324</v>
      </c>
      <c r="BE151" s="2">
        <f t="shared" si="154"/>
        <v>-0.03017327967552</v>
      </c>
      <c r="BF151" s="2">
        <f t="shared" si="155"/>
        <v>0.344958202996567</v>
      </c>
    </row>
    <row r="152" s="2" customFormat="1" spans="1:58">
      <c r="A152" s="12">
        <v>228</v>
      </c>
      <c r="B152" s="6">
        <v>0.0224957790109</v>
      </c>
      <c r="C152" s="6">
        <v>0.0466064388647</v>
      </c>
      <c r="D152" s="6">
        <v>0.0324034237668</v>
      </c>
      <c r="E152" s="6">
        <v>0.156888574245</v>
      </c>
      <c r="F152" s="6">
        <v>0.260958908511</v>
      </c>
      <c r="G152" s="2">
        <f t="shared" si="104"/>
        <v>5.59920291847597</v>
      </c>
      <c r="H152" s="2">
        <f t="shared" si="105"/>
        <v>0.2143524696463</v>
      </c>
      <c r="I152" s="2">
        <f t="shared" si="106"/>
        <v>0.696933095601509</v>
      </c>
      <c r="J152" s="2">
        <f t="shared" si="107"/>
        <v>-0.196240681914774</v>
      </c>
      <c r="K152" s="2">
        <f t="shared" si="108"/>
        <v>4.59920291847597</v>
      </c>
      <c r="L152" s="2">
        <f t="shared" si="109"/>
        <v>1.79034542121708</v>
      </c>
      <c r="M152" s="2">
        <f t="shared" si="110"/>
        <v>0.398145742031037</v>
      </c>
      <c r="N152" s="2">
        <f t="shared" si="111"/>
        <v>0.373204448640256</v>
      </c>
      <c r="O152" s="2">
        <f t="shared" si="112"/>
        <v>0.531794894949545</v>
      </c>
      <c r="P152" s="2">
        <f t="shared" si="113"/>
        <v>0.386509159296936</v>
      </c>
      <c r="Q152" s="2">
        <f t="shared" si="114"/>
        <v>0.779089404456224</v>
      </c>
      <c r="R152" s="2">
        <f t="shared" si="115"/>
        <v>8.05343627849518</v>
      </c>
      <c r="S152" s="2">
        <f t="shared" si="116"/>
        <v>0.584795743773472</v>
      </c>
      <c r="T152" s="2">
        <f t="shared" si="117"/>
        <v>-0.0170806730959417</v>
      </c>
      <c r="U152" s="2">
        <f t="shared" si="118"/>
        <v>0.432126927594358</v>
      </c>
      <c r="V152" s="2">
        <f t="shared" si="119"/>
        <v>0.411749099150134</v>
      </c>
      <c r="W152" s="2">
        <f t="shared" si="120"/>
        <v>0.2285554847442</v>
      </c>
      <c r="X152" s="2">
        <f t="shared" si="121"/>
        <v>0.421977672981121</v>
      </c>
      <c r="Y152" s="2">
        <f t="shared" si="122"/>
        <v>1.13096834812307</v>
      </c>
      <c r="Z152" s="2">
        <f t="shared" si="123"/>
        <v>1.83785769172719</v>
      </c>
      <c r="AA152" s="2">
        <f t="shared" si="124"/>
        <v>3.21047545269703</v>
      </c>
      <c r="AB152" s="2">
        <f t="shared" si="125"/>
        <v>0.1466811661389</v>
      </c>
      <c r="AC152" s="2">
        <f t="shared" si="126"/>
        <v>1.66333915498194</v>
      </c>
      <c r="AD152" s="2">
        <f t="shared" si="127"/>
        <v>0.104070334266</v>
      </c>
      <c r="AE152" s="2">
        <f t="shared" si="128"/>
        <v>0.249062968094441</v>
      </c>
      <c r="AF152" s="2">
        <f t="shared" si="129"/>
        <v>0.160997100417587</v>
      </c>
      <c r="AG152" s="7">
        <f t="shared" si="130"/>
        <v>0.170077822657709</v>
      </c>
      <c r="AH152" s="2">
        <f t="shared" si="131"/>
        <v>50.8827121078336</v>
      </c>
      <c r="AI152" s="2">
        <f t="shared" si="132"/>
        <v>0.663339154981942</v>
      </c>
      <c r="AJ152" s="2">
        <f t="shared" si="133"/>
        <v>0.406464289689833</v>
      </c>
      <c r="AK152" s="2">
        <f t="shared" si="134"/>
        <v>0.196764448030712</v>
      </c>
      <c r="AL152" s="2">
        <f t="shared" si="135"/>
        <v>0.20891600526282</v>
      </c>
      <c r="AM152" s="2">
        <f t="shared" si="136"/>
        <v>8.05343627849518</v>
      </c>
      <c r="AN152" s="2">
        <f t="shared" si="137"/>
        <v>0.1244851504782</v>
      </c>
      <c r="AO152" s="2">
        <f t="shared" si="138"/>
        <v>0.657635567196242</v>
      </c>
      <c r="AP152" s="2">
        <f t="shared" si="139"/>
        <v>4.8417283116158</v>
      </c>
      <c r="AQ152" s="2">
        <f t="shared" si="140"/>
        <v>0.1102821353803</v>
      </c>
      <c r="AR152" s="2">
        <f t="shared" si="141"/>
        <v>0.541940235758255</v>
      </c>
      <c r="AS152" s="2">
        <f t="shared" si="142"/>
        <v>0.836006012494036</v>
      </c>
      <c r="AT152" s="2">
        <f t="shared" si="143"/>
        <v>0.10034674419815</v>
      </c>
      <c r="AU152" s="2">
        <f t="shared" si="144"/>
        <v>0.337791472828007</v>
      </c>
      <c r="AV152" s="2">
        <f t="shared" si="145"/>
        <v>0.0719674814583836</v>
      </c>
      <c r="AW152" s="2">
        <f t="shared" si="146"/>
        <v>0.579585526048875</v>
      </c>
      <c r="AX152" s="2">
        <f t="shared" si="147"/>
        <v>-0.00621180111429998</v>
      </c>
      <c r="AY152" s="7">
        <f t="shared" si="148"/>
        <v>1.06626009544623</v>
      </c>
      <c r="AZ152" s="2">
        <f t="shared" si="149"/>
        <v>0.140427445855322</v>
      </c>
      <c r="BA152" s="2">
        <f t="shared" si="150"/>
        <v>0.607708509631113</v>
      </c>
      <c r="BB152" s="2">
        <f t="shared" si="151"/>
        <v>0.101796090710743</v>
      </c>
      <c r="BC152" s="2">
        <f t="shared" si="152"/>
        <v>0.65268425826665</v>
      </c>
      <c r="BD152" s="2">
        <f t="shared" si="153"/>
        <v>0.0841118306814565</v>
      </c>
      <c r="BE152" s="2">
        <f t="shared" si="154"/>
        <v>-0.0221788498502279</v>
      </c>
      <c r="BF152" s="2">
        <f t="shared" si="155"/>
        <v>0.357369982378982</v>
      </c>
    </row>
    <row r="153" s="2" customFormat="1" spans="1:58">
      <c r="A153" s="12">
        <v>224</v>
      </c>
      <c r="B153" s="6">
        <v>0.0236703675571</v>
      </c>
      <c r="C153" s="6">
        <v>0.0475068281569</v>
      </c>
      <c r="D153" s="6">
        <v>0.0355893199516</v>
      </c>
      <c r="E153" s="6">
        <v>0.153641057172</v>
      </c>
      <c r="F153" s="6">
        <v>0.247544969969</v>
      </c>
      <c r="G153" s="2">
        <f t="shared" si="104"/>
        <v>5.21072400690354</v>
      </c>
      <c r="H153" s="2">
        <f t="shared" si="105"/>
        <v>0.2000381418121</v>
      </c>
      <c r="I153" s="2">
        <f t="shared" si="106"/>
        <v>0.677976352229322</v>
      </c>
      <c r="J153" s="2">
        <f t="shared" si="107"/>
        <v>-0.230551986601024</v>
      </c>
      <c r="K153" s="2">
        <f t="shared" si="108"/>
        <v>4.21072400690354</v>
      </c>
      <c r="L153" s="2">
        <f t="shared" si="109"/>
        <v>1.68960684848426</v>
      </c>
      <c r="M153" s="2">
        <f t="shared" si="110"/>
        <v>0.377405866417064</v>
      </c>
      <c r="N153" s="2">
        <f t="shared" si="111"/>
        <v>0.349114049354456</v>
      </c>
      <c r="O153" s="2">
        <f t="shared" si="112"/>
        <v>0.50992929916483</v>
      </c>
      <c r="P153" s="2">
        <f t="shared" si="113"/>
        <v>0.368267741857062</v>
      </c>
      <c r="Q153" s="2">
        <f t="shared" si="114"/>
        <v>0.748604664157207</v>
      </c>
      <c r="R153" s="2">
        <f t="shared" si="115"/>
        <v>6.95559708096842</v>
      </c>
      <c r="S153" s="2">
        <f t="shared" si="116"/>
        <v>0.554839829849859</v>
      </c>
      <c r="T153" s="2">
        <f t="shared" si="117"/>
        <v>-0.0901133182656217</v>
      </c>
      <c r="U153" s="2">
        <f t="shared" si="118"/>
        <v>0.405975678907298</v>
      </c>
      <c r="V153" s="2">
        <f t="shared" si="119"/>
        <v>0.38024103302964</v>
      </c>
      <c r="W153" s="2">
        <f t="shared" si="120"/>
        <v>0.2119556500174</v>
      </c>
      <c r="X153" s="2">
        <f t="shared" si="121"/>
        <v>0.39833527109396</v>
      </c>
      <c r="Y153" s="2">
        <f t="shared" si="122"/>
        <v>1.11740980135186</v>
      </c>
      <c r="Z153" s="2">
        <f t="shared" si="123"/>
        <v>1.63734659856615</v>
      </c>
      <c r="AA153" s="2">
        <f t="shared" si="124"/>
        <v>3.16904383889861</v>
      </c>
      <c r="AB153" s="2">
        <f t="shared" si="125"/>
        <v>0.1415671449603</v>
      </c>
      <c r="AC153" s="2">
        <f t="shared" si="126"/>
        <v>1.61119022822054</v>
      </c>
      <c r="AD153" s="2">
        <f t="shared" si="127"/>
        <v>0.093903912797</v>
      </c>
      <c r="AE153" s="2">
        <f t="shared" si="128"/>
        <v>0.234065761128806</v>
      </c>
      <c r="AF153" s="2">
        <f t="shared" si="129"/>
        <v>0.148255491708749</v>
      </c>
      <c r="AG153" s="7">
        <f t="shared" si="130"/>
        <v>0.15630054722704</v>
      </c>
      <c r="AH153" s="2">
        <f t="shared" si="131"/>
        <v>47.6973178055962</v>
      </c>
      <c r="AI153" s="2">
        <f t="shared" si="132"/>
        <v>0.611190228220542</v>
      </c>
      <c r="AJ153" s="2">
        <f t="shared" si="133"/>
        <v>0.378231021946812</v>
      </c>
      <c r="AK153" s="2">
        <f t="shared" si="134"/>
        <v>0.179861705723269</v>
      </c>
      <c r="AL153" s="2">
        <f t="shared" si="135"/>
        <v>0.194104153660888</v>
      </c>
      <c r="AM153" s="2">
        <f t="shared" si="136"/>
        <v>6.95559708096842</v>
      </c>
      <c r="AN153" s="2">
        <f t="shared" si="137"/>
        <v>0.1180517372204</v>
      </c>
      <c r="AO153" s="2">
        <f t="shared" si="138"/>
        <v>0.623851936538138</v>
      </c>
      <c r="AP153" s="2">
        <f t="shared" si="139"/>
        <v>4.3170551553372</v>
      </c>
      <c r="AQ153" s="2">
        <f t="shared" si="140"/>
        <v>0.1061342290151</v>
      </c>
      <c r="AR153" s="2">
        <f t="shared" si="141"/>
        <v>0.527642778056345</v>
      </c>
      <c r="AS153" s="2">
        <f t="shared" si="142"/>
        <v>0.795447106565518</v>
      </c>
      <c r="AT153" s="2">
        <f t="shared" si="143"/>
        <v>0.105878280868455</v>
      </c>
      <c r="AU153" s="2">
        <f t="shared" si="144"/>
        <v>0.342419219200612</v>
      </c>
      <c r="AV153" s="2">
        <f t="shared" si="145"/>
        <v>0.0814819796687261</v>
      </c>
      <c r="AW153" s="2">
        <f t="shared" si="146"/>
        <v>0.566755819935319</v>
      </c>
      <c r="AX153" s="2">
        <f t="shared" si="147"/>
        <v>-0.0122303162181</v>
      </c>
      <c r="AY153" s="7">
        <f t="shared" si="148"/>
        <v>1.05957617930932</v>
      </c>
      <c r="AZ153" s="2">
        <f t="shared" si="149"/>
        <v>0.129480482937001</v>
      </c>
      <c r="BA153" s="2">
        <f t="shared" si="150"/>
        <v>0.617030101705104</v>
      </c>
      <c r="BB153" s="2">
        <f t="shared" si="151"/>
        <v>0.0868371668183902</v>
      </c>
      <c r="BC153" s="2">
        <f t="shared" si="152"/>
        <v>0.615713191350477</v>
      </c>
      <c r="BD153" s="2">
        <f t="shared" si="153"/>
        <v>0.0768112151164992</v>
      </c>
      <c r="BE153" s="2">
        <f t="shared" si="154"/>
        <v>-0.030347762835876</v>
      </c>
      <c r="BF153" s="2">
        <f t="shared" si="155"/>
        <v>0.345241777768724</v>
      </c>
    </row>
    <row r="154" s="2" customFormat="1" spans="1:58">
      <c r="A154" s="12">
        <v>231.5</v>
      </c>
      <c r="B154" s="6">
        <v>0.0232048236872</v>
      </c>
      <c r="C154" s="6">
        <v>0.047989124415</v>
      </c>
      <c r="D154" s="6">
        <v>0.0343749983627</v>
      </c>
      <c r="E154" s="6">
        <v>0.156612127533</v>
      </c>
      <c r="F154" s="6">
        <v>0.257479847072</v>
      </c>
      <c r="G154" s="2">
        <f t="shared" si="104"/>
        <v>5.36537913976858</v>
      </c>
      <c r="H154" s="2">
        <f t="shared" si="105"/>
        <v>0.209490722657</v>
      </c>
      <c r="I154" s="2">
        <f t="shared" si="106"/>
        <v>0.685800333949517</v>
      </c>
      <c r="J154" s="2">
        <f t="shared" si="107"/>
        <v>-0.216659353891286</v>
      </c>
      <c r="K154" s="2">
        <f t="shared" si="108"/>
        <v>4.36537913976858</v>
      </c>
      <c r="L154" s="2">
        <f t="shared" si="109"/>
        <v>1.73025387497602</v>
      </c>
      <c r="M154" s="2">
        <f t="shared" si="110"/>
        <v>0.390128105624453</v>
      </c>
      <c r="N154" s="2">
        <f t="shared" si="111"/>
        <v>0.364040813159221</v>
      </c>
      <c r="O154" s="2">
        <f t="shared" si="112"/>
        <v>0.522073979508872</v>
      </c>
      <c r="P154" s="2">
        <f t="shared" si="113"/>
        <v>0.379036683656736</v>
      </c>
      <c r="Q154" s="2">
        <f t="shared" si="114"/>
        <v>0.764437706617476</v>
      </c>
      <c r="R154" s="2">
        <f t="shared" si="115"/>
        <v>7.49032318068091</v>
      </c>
      <c r="S154" s="2">
        <f t="shared" si="116"/>
        <v>0.572753898995621</v>
      </c>
      <c r="T154" s="2">
        <f t="shared" si="117"/>
        <v>-0.0532753066211855</v>
      </c>
      <c r="U154" s="2">
        <f t="shared" si="118"/>
        <v>0.422624518866504</v>
      </c>
      <c r="V154" s="2">
        <f t="shared" si="119"/>
        <v>0.40031598929574</v>
      </c>
      <c r="W154" s="2">
        <f t="shared" si="120"/>
        <v>0.2231048487093</v>
      </c>
      <c r="X154" s="2">
        <f t="shared" si="121"/>
        <v>0.412976705012009</v>
      </c>
      <c r="Y154" s="2">
        <f t="shared" si="122"/>
        <v>1.12447219023748</v>
      </c>
      <c r="Z154" s="2">
        <f t="shared" si="123"/>
        <v>1.73684547986928</v>
      </c>
      <c r="AA154" s="2">
        <f t="shared" si="124"/>
        <v>3.19200829753021</v>
      </c>
      <c r="AB154" s="2">
        <f t="shared" si="125"/>
        <v>0.14592742271735</v>
      </c>
      <c r="AC154" s="2">
        <f t="shared" si="126"/>
        <v>1.64406071948512</v>
      </c>
      <c r="AD154" s="2">
        <f t="shared" si="127"/>
        <v>0.100867719539</v>
      </c>
      <c r="AE154" s="2">
        <f t="shared" si="128"/>
        <v>0.243587718972861</v>
      </c>
      <c r="AF154" s="2">
        <f t="shared" si="129"/>
        <v>0.156748645035609</v>
      </c>
      <c r="AG154" s="7">
        <f t="shared" si="130"/>
        <v>0.165521176765479</v>
      </c>
      <c r="AH154" s="2">
        <f t="shared" si="131"/>
        <v>49.716922994533</v>
      </c>
      <c r="AI154" s="2">
        <f t="shared" si="132"/>
        <v>0.644060719485124</v>
      </c>
      <c r="AJ154" s="2">
        <f t="shared" si="133"/>
        <v>0.396087467031464</v>
      </c>
      <c r="AK154" s="2">
        <f t="shared" si="134"/>
        <v>0.191072366584359</v>
      </c>
      <c r="AL154" s="2">
        <f t="shared" si="135"/>
        <v>0.203811514253871</v>
      </c>
      <c r="AM154" s="2">
        <f t="shared" si="136"/>
        <v>7.49032318068091</v>
      </c>
      <c r="AN154" s="2">
        <f t="shared" si="137"/>
        <v>0.1222371291703</v>
      </c>
      <c r="AO154" s="2">
        <f t="shared" si="138"/>
        <v>0.640028109732668</v>
      </c>
      <c r="AP154" s="2">
        <f t="shared" si="139"/>
        <v>4.55598938160062</v>
      </c>
      <c r="AQ154" s="2">
        <f t="shared" si="140"/>
        <v>0.108623003118</v>
      </c>
      <c r="AR154" s="2">
        <f t="shared" si="141"/>
        <v>0.530900969978458</v>
      </c>
      <c r="AS154" s="2">
        <f t="shared" si="142"/>
        <v>0.825180697744232</v>
      </c>
      <c r="AT154" s="2">
        <f t="shared" si="143"/>
        <v>0.103854333182589</v>
      </c>
      <c r="AU154" s="2">
        <f t="shared" si="144"/>
        <v>0.338927793984972</v>
      </c>
      <c r="AV154" s="2">
        <f t="shared" si="145"/>
        <v>0.0766500108920525</v>
      </c>
      <c r="AW154" s="2">
        <f t="shared" si="146"/>
        <v>0.574133353384184</v>
      </c>
      <c r="AX154" s="2">
        <f t="shared" si="147"/>
        <v>-0.00775528357899999</v>
      </c>
      <c r="AY154" s="7">
        <f t="shared" si="148"/>
        <v>1.06498677306389</v>
      </c>
      <c r="AZ154" s="2">
        <f t="shared" si="149"/>
        <v>0.137254848460928</v>
      </c>
      <c r="BA154" s="2">
        <f t="shared" si="150"/>
        <v>0.61879118195682</v>
      </c>
      <c r="BB154" s="2">
        <f t="shared" si="151"/>
        <v>0.0969495619147269</v>
      </c>
      <c r="BC154" s="2">
        <f t="shared" si="152"/>
        <v>0.642800457982592</v>
      </c>
      <c r="BD154" s="2">
        <f t="shared" si="153"/>
        <v>0.0825244077632211</v>
      </c>
      <c r="BE154" s="2">
        <f t="shared" si="154"/>
        <v>-0.02420236872792</v>
      </c>
      <c r="BF154" s="2">
        <f t="shared" si="155"/>
        <v>0.355187518749141</v>
      </c>
    </row>
    <row r="155" s="2" customFormat="1" spans="1:58">
      <c r="A155" s="12">
        <v>230</v>
      </c>
      <c r="B155" s="6">
        <v>0.0232638460024</v>
      </c>
      <c r="C155" s="6">
        <v>0.0462230423576</v>
      </c>
      <c r="D155" s="6">
        <v>0.0342432997016</v>
      </c>
      <c r="E155" s="6">
        <v>0.152986627536</v>
      </c>
      <c r="F155" s="6">
        <v>0.249028869052</v>
      </c>
      <c r="G155" s="2">
        <f t="shared" si="104"/>
        <v>5.38754820864911</v>
      </c>
      <c r="H155" s="2">
        <f t="shared" si="105"/>
        <v>0.2028058266944</v>
      </c>
      <c r="I155" s="2">
        <f t="shared" si="106"/>
        <v>0.68689081715393</v>
      </c>
      <c r="J155" s="2">
        <f t="shared" si="107"/>
        <v>-0.214693576041077</v>
      </c>
      <c r="K155" s="2">
        <f t="shared" si="108"/>
        <v>4.38754820864911</v>
      </c>
      <c r="L155" s="2">
        <f t="shared" si="109"/>
        <v>1.73602032659219</v>
      </c>
      <c r="M155" s="2">
        <f t="shared" si="110"/>
        <v>0.382531290622595</v>
      </c>
      <c r="N155" s="2">
        <f t="shared" si="111"/>
        <v>0.354779464125983</v>
      </c>
      <c r="O155" s="2">
        <f t="shared" si="112"/>
        <v>0.516757322856883</v>
      </c>
      <c r="P155" s="2">
        <f t="shared" si="113"/>
        <v>0.373236466628992</v>
      </c>
      <c r="Q155" s="2">
        <f t="shared" si="114"/>
        <v>0.758230398331959</v>
      </c>
      <c r="R155" s="2">
        <f t="shared" si="115"/>
        <v>7.27233856614479</v>
      </c>
      <c r="S155" s="2">
        <f t="shared" si="116"/>
        <v>0.562072870821174</v>
      </c>
      <c r="T155" s="2">
        <f t="shared" si="117"/>
        <v>-0.067987765859926</v>
      </c>
      <c r="U155" s="2">
        <f t="shared" si="118"/>
        <v>0.411323632931161</v>
      </c>
      <c r="V155" s="2">
        <f t="shared" si="119"/>
        <v>0.386436662885736</v>
      </c>
      <c r="W155" s="2">
        <f t="shared" si="120"/>
        <v>0.2147855693504</v>
      </c>
      <c r="X155" s="2">
        <f t="shared" si="121"/>
        <v>0.403555383813065</v>
      </c>
      <c r="Y155" s="2">
        <f t="shared" si="122"/>
        <v>1.12170869584396</v>
      </c>
      <c r="Z155" s="2">
        <f t="shared" si="123"/>
        <v>1.69672738076076</v>
      </c>
      <c r="AA155" s="2">
        <f t="shared" si="124"/>
        <v>3.18005907051237</v>
      </c>
      <c r="AB155" s="2">
        <f t="shared" si="125"/>
        <v>0.1416360843768</v>
      </c>
      <c r="AC155" s="2">
        <f t="shared" si="126"/>
        <v>1.62778193795663</v>
      </c>
      <c r="AD155" s="2">
        <f t="shared" si="127"/>
        <v>0.096042241516</v>
      </c>
      <c r="AE155" s="2">
        <f t="shared" si="128"/>
        <v>0.238901839185636</v>
      </c>
      <c r="AF155" s="2">
        <f t="shared" si="129"/>
        <v>0.151474975285304</v>
      </c>
      <c r="AG155" s="7">
        <f t="shared" si="130"/>
        <v>0.159712735334304</v>
      </c>
      <c r="AH155" s="2">
        <f t="shared" si="131"/>
        <v>48.7218313864868</v>
      </c>
      <c r="AI155" s="2">
        <f t="shared" si="132"/>
        <v>0.627781937956635</v>
      </c>
      <c r="AJ155" s="2">
        <f t="shared" si="133"/>
        <v>0.387270266849087</v>
      </c>
      <c r="AK155" s="2">
        <f t="shared" si="134"/>
        <v>0.183925036559443</v>
      </c>
      <c r="AL155" s="2">
        <f t="shared" si="135"/>
        <v>0.198231189059599</v>
      </c>
      <c r="AM155" s="2">
        <f t="shared" si="136"/>
        <v>7.27233856614479</v>
      </c>
      <c r="AN155" s="2">
        <f t="shared" si="137"/>
        <v>0.1187433278344</v>
      </c>
      <c r="AO155" s="2">
        <f t="shared" si="138"/>
        <v>0.634211258778686</v>
      </c>
      <c r="AP155" s="2">
        <f t="shared" si="139"/>
        <v>4.46763684776709</v>
      </c>
      <c r="AQ155" s="2">
        <f t="shared" si="140"/>
        <v>0.1067635851784</v>
      </c>
      <c r="AR155" s="2">
        <f t="shared" si="141"/>
        <v>0.535935756710121</v>
      </c>
      <c r="AS155" s="2">
        <f t="shared" si="142"/>
        <v>0.808822215678012</v>
      </c>
      <c r="AT155" s="2">
        <f t="shared" si="143"/>
        <v>0.103121526467428</v>
      </c>
      <c r="AU155" s="2">
        <f t="shared" si="144"/>
        <v>0.341306278339817</v>
      </c>
      <c r="AV155" s="2">
        <f t="shared" si="145"/>
        <v>0.0784930871144393</v>
      </c>
      <c r="AW155" s="2">
        <f t="shared" si="146"/>
        <v>0.570828304598099</v>
      </c>
      <c r="AX155" s="2">
        <f t="shared" si="147"/>
        <v>-0.0107213436624</v>
      </c>
      <c r="AY155" s="7">
        <f t="shared" si="148"/>
        <v>1.05907001219473</v>
      </c>
      <c r="AZ155" s="2">
        <f t="shared" si="149"/>
        <v>0.131906165869043</v>
      </c>
      <c r="BA155" s="2">
        <f t="shared" si="150"/>
        <v>0.608872579144378</v>
      </c>
      <c r="BB155" s="2">
        <f t="shared" si="151"/>
        <v>0.0903110936995121</v>
      </c>
      <c r="BC155" s="2">
        <f t="shared" si="152"/>
        <v>0.620309588312498</v>
      </c>
      <c r="BD155" s="2">
        <f t="shared" si="153"/>
        <v>0.078352282354612</v>
      </c>
      <c r="BE155" s="2">
        <f t="shared" si="154"/>
        <v>-0.028250365095264</v>
      </c>
      <c r="BF155" s="2">
        <f t="shared" si="155"/>
        <v>0.347801765898551</v>
      </c>
    </row>
    <row r="156" s="2" customFormat="1" spans="1:58">
      <c r="A156" s="12">
        <v>224</v>
      </c>
      <c r="B156" s="6">
        <v>0.0248534321256</v>
      </c>
      <c r="C156" s="6">
        <v>0.0489589571953</v>
      </c>
      <c r="D156" s="6">
        <v>0.0390518896015</v>
      </c>
      <c r="E156" s="6">
        <v>0.147779942252</v>
      </c>
      <c r="F156" s="6">
        <v>0.224337814858</v>
      </c>
      <c r="G156" s="2">
        <f t="shared" si="104"/>
        <v>4.58216080794172</v>
      </c>
      <c r="H156" s="2">
        <f t="shared" si="105"/>
        <v>0.1753788576627</v>
      </c>
      <c r="I156" s="2">
        <f t="shared" si="106"/>
        <v>0.64171580346546</v>
      </c>
      <c r="J156" s="2">
        <f t="shared" si="107"/>
        <v>-0.29043972180698</v>
      </c>
      <c r="K156" s="2">
        <f t="shared" si="108"/>
        <v>3.58216080794172</v>
      </c>
      <c r="L156" s="2">
        <f t="shared" si="109"/>
        <v>1.51615606090231</v>
      </c>
      <c r="M156" s="2">
        <f t="shared" si="110"/>
        <v>0.340190591764061</v>
      </c>
      <c r="N156" s="2">
        <f t="shared" si="111"/>
        <v>0.3073155676003</v>
      </c>
      <c r="O156" s="2">
        <f t="shared" si="112"/>
        <v>0.469515325315433</v>
      </c>
      <c r="P156" s="2">
        <f t="shared" si="113"/>
        <v>0.335474864268359</v>
      </c>
      <c r="Q156" s="2">
        <f t="shared" si="114"/>
        <v>0.703466848245735</v>
      </c>
      <c r="R156" s="2">
        <f t="shared" si="115"/>
        <v>5.74460844653681</v>
      </c>
      <c r="S156" s="2">
        <f t="shared" si="116"/>
        <v>0.507645016006996</v>
      </c>
      <c r="T156" s="2">
        <f t="shared" si="117"/>
        <v>-0.183885182029812</v>
      </c>
      <c r="U156" s="2">
        <f t="shared" si="118"/>
        <v>0.364072093533841</v>
      </c>
      <c r="V156" s="2">
        <f t="shared" si="119"/>
        <v>0.331790468006359</v>
      </c>
      <c r="W156" s="2">
        <f t="shared" si="120"/>
        <v>0.1852859252565</v>
      </c>
      <c r="X156" s="2">
        <f t="shared" si="121"/>
        <v>0.361029785287149</v>
      </c>
      <c r="Y156" s="2">
        <f t="shared" si="122"/>
        <v>1.09702636624911</v>
      </c>
      <c r="Z156" s="2">
        <f t="shared" si="123"/>
        <v>1.39679128138785</v>
      </c>
      <c r="AA156" s="2">
        <f t="shared" si="124"/>
        <v>3.11413746145652</v>
      </c>
      <c r="AB156" s="2">
        <f t="shared" si="125"/>
        <v>0.13169485222975</v>
      </c>
      <c r="AC156" s="2">
        <f t="shared" si="126"/>
        <v>1.51805320423966</v>
      </c>
      <c r="AD156" s="2">
        <f t="shared" si="127"/>
        <v>0.076557872606</v>
      </c>
      <c r="AE156" s="2">
        <f t="shared" si="128"/>
        <v>0.205735606923399</v>
      </c>
      <c r="AF156" s="2">
        <f t="shared" si="129"/>
        <v>0.125501714670994</v>
      </c>
      <c r="AG156" s="7">
        <f t="shared" si="130"/>
        <v>0.131675806360764</v>
      </c>
      <c r="AH156" s="2">
        <f t="shared" si="131"/>
        <v>41.742872726547</v>
      </c>
      <c r="AI156" s="2">
        <f t="shared" si="132"/>
        <v>0.518053204239656</v>
      </c>
      <c r="AJ156" s="2">
        <f t="shared" si="133"/>
        <v>0.326468973093704</v>
      </c>
      <c r="AK156" s="2">
        <f t="shared" si="134"/>
        <v>0.150430125318899</v>
      </c>
      <c r="AL156" s="2">
        <f t="shared" si="135"/>
        <v>0.166893758075812</v>
      </c>
      <c r="AM156" s="2">
        <f t="shared" si="136"/>
        <v>5.74460844653681</v>
      </c>
      <c r="AN156" s="2">
        <f t="shared" si="137"/>
        <v>0.1087280526505</v>
      </c>
      <c r="AO156" s="2">
        <f t="shared" si="138"/>
        <v>0.581956787405246</v>
      </c>
      <c r="AP156" s="2">
        <f t="shared" si="139"/>
        <v>3.78419440800436</v>
      </c>
      <c r="AQ156" s="2">
        <f t="shared" si="140"/>
        <v>0.0988209850567</v>
      </c>
      <c r="AR156" s="2">
        <f t="shared" si="141"/>
        <v>0.502295099415106</v>
      </c>
      <c r="AS156" s="2">
        <f t="shared" si="142"/>
        <v>0.704122540041169</v>
      </c>
      <c r="AT156" s="2">
        <f t="shared" si="143"/>
        <v>0.116270873054743</v>
      </c>
      <c r="AU156" s="2">
        <f t="shared" si="144"/>
        <v>0.350957289328644</v>
      </c>
      <c r="AV156" s="2">
        <f t="shared" si="145"/>
        <v>0.0949775595397999</v>
      </c>
      <c r="AW156" s="2">
        <f t="shared" si="146"/>
        <v>0.545608890763788</v>
      </c>
      <c r="AX156" s="2">
        <f t="shared" si="147"/>
        <v>-0.0222631124507</v>
      </c>
      <c r="AY156" s="7">
        <f t="shared" si="148"/>
        <v>1.05648952060604</v>
      </c>
      <c r="AZ156" s="2">
        <f t="shared" si="149"/>
        <v>0.109755651943938</v>
      </c>
      <c r="BA156" s="2">
        <f t="shared" si="150"/>
        <v>0.636308851479351</v>
      </c>
      <c r="BB156" s="2">
        <f t="shared" si="151"/>
        <v>0.0629720364531592</v>
      </c>
      <c r="BC156" s="2">
        <f t="shared" si="152"/>
        <v>0.552108460842841</v>
      </c>
      <c r="BD156" s="2">
        <f t="shared" si="153"/>
        <v>0.0609092822963164</v>
      </c>
      <c r="BE156" s="2">
        <f t="shared" si="154"/>
        <v>-0.043917400135812</v>
      </c>
      <c r="BF156" s="2">
        <f t="shared" si="155"/>
        <v>0.320602369167729</v>
      </c>
    </row>
    <row r="157" s="2" customFormat="1" spans="1:58">
      <c r="A157" s="12">
        <v>218.5</v>
      </c>
      <c r="B157" s="6">
        <v>0.0250098265076</v>
      </c>
      <c r="C157" s="6">
        <v>0.0488765284994</v>
      </c>
      <c r="D157" s="6">
        <v>0.0404088637753</v>
      </c>
      <c r="E157" s="6">
        <v>0.141591318042</v>
      </c>
      <c r="F157" s="6">
        <v>0.21593446937</v>
      </c>
      <c r="G157" s="2">
        <f t="shared" si="104"/>
        <v>4.41795839433749</v>
      </c>
      <c r="H157" s="2">
        <f t="shared" si="105"/>
        <v>0.1670579408706</v>
      </c>
      <c r="I157" s="2">
        <f t="shared" si="106"/>
        <v>0.630857261272018</v>
      </c>
      <c r="J157" s="2">
        <f t="shared" si="107"/>
        <v>-0.307057121946266</v>
      </c>
      <c r="K157" s="2">
        <f t="shared" si="108"/>
        <v>3.41795839433749</v>
      </c>
      <c r="L157" s="2">
        <f t="shared" si="109"/>
        <v>1.46841542888702</v>
      </c>
      <c r="M157" s="2">
        <f t="shared" si="110"/>
        <v>0.327645538576173</v>
      </c>
      <c r="N157" s="2">
        <f t="shared" si="111"/>
        <v>0.293505442560876</v>
      </c>
      <c r="O157" s="2">
        <f t="shared" si="112"/>
        <v>0.456172774202687</v>
      </c>
      <c r="P157" s="2">
        <f t="shared" si="113"/>
        <v>0.324637821350762</v>
      </c>
      <c r="Q157" s="2">
        <f t="shared" si="114"/>
        <v>0.684728576479923</v>
      </c>
      <c r="R157" s="2">
        <f t="shared" si="115"/>
        <v>5.34374018954699</v>
      </c>
      <c r="S157" s="2">
        <f t="shared" si="116"/>
        <v>0.489042783396255</v>
      </c>
      <c r="T157" s="2">
        <f t="shared" si="117"/>
        <v>-0.218584270881126</v>
      </c>
      <c r="U157" s="2">
        <f t="shared" si="118"/>
        <v>0.348106999630907</v>
      </c>
      <c r="V157" s="2">
        <f t="shared" si="119"/>
        <v>0.31405021583087</v>
      </c>
      <c r="W157" s="2">
        <f t="shared" si="120"/>
        <v>0.1755256055947</v>
      </c>
      <c r="X157" s="2">
        <f t="shared" si="121"/>
        <v>0.346680541788309</v>
      </c>
      <c r="Y157" s="2">
        <f t="shared" si="122"/>
        <v>1.08845237676249</v>
      </c>
      <c r="Z157" s="2">
        <f t="shared" si="123"/>
        <v>1.31165312915822</v>
      </c>
      <c r="AA157" s="2">
        <f t="shared" si="124"/>
        <v>3.09458141958748</v>
      </c>
      <c r="AB157" s="2">
        <f t="shared" si="125"/>
        <v>0.12817166657265</v>
      </c>
      <c r="AC157" s="2">
        <f t="shared" si="126"/>
        <v>1.52505444794255</v>
      </c>
      <c r="AD157" s="2">
        <f t="shared" si="127"/>
        <v>0.074343151328</v>
      </c>
      <c r="AE157" s="2">
        <f t="shared" si="128"/>
        <v>0.207937871743863</v>
      </c>
      <c r="AF157" s="2">
        <f t="shared" si="129"/>
        <v>0.124333248432896</v>
      </c>
      <c r="AG157" s="7">
        <f t="shared" si="130"/>
        <v>0.130042418116136</v>
      </c>
      <c r="AH157" s="2">
        <f t="shared" si="131"/>
        <v>42.2030112990901</v>
      </c>
      <c r="AI157" s="2">
        <f t="shared" si="132"/>
        <v>0.525054447942548</v>
      </c>
      <c r="AJ157" s="2">
        <f t="shared" si="133"/>
        <v>0.330422009640433</v>
      </c>
      <c r="AK157" s="2">
        <f t="shared" si="134"/>
        <v>0.147439293909367</v>
      </c>
      <c r="AL157" s="2">
        <f t="shared" si="135"/>
        <v>0.166635282024751</v>
      </c>
      <c r="AM157" s="2">
        <f t="shared" si="136"/>
        <v>5.34374018954699</v>
      </c>
      <c r="AN157" s="2">
        <f t="shared" si="137"/>
        <v>0.1011824542667</v>
      </c>
      <c r="AO157" s="2">
        <f t="shared" si="138"/>
        <v>0.555946995527024</v>
      </c>
      <c r="AP157" s="2">
        <f t="shared" si="139"/>
        <v>3.50396682345095</v>
      </c>
      <c r="AQ157" s="2">
        <f t="shared" si="140"/>
        <v>0.0927147895426</v>
      </c>
      <c r="AR157" s="2">
        <f t="shared" si="141"/>
        <v>0.486773968552469</v>
      </c>
      <c r="AS157" s="2">
        <f t="shared" si="142"/>
        <v>0.734743507328295</v>
      </c>
      <c r="AT157" s="2">
        <f t="shared" si="143"/>
        <v>0.12026636312293</v>
      </c>
      <c r="AU157" s="2">
        <f t="shared" si="144"/>
        <v>0.348401848361682</v>
      </c>
      <c r="AV157" s="2">
        <f t="shared" si="145"/>
        <v>0.101546481701792</v>
      </c>
      <c r="AW157" s="2">
        <f t="shared" si="146"/>
        <v>0.542638015376962</v>
      </c>
      <c r="AX157" s="2">
        <f t="shared" si="147"/>
        <v>-0.0183716382146</v>
      </c>
      <c r="AY157" s="7">
        <f t="shared" si="148"/>
        <v>1.05068699326696</v>
      </c>
      <c r="AZ157" s="2">
        <f t="shared" si="149"/>
        <v>0.10939840947395</v>
      </c>
      <c r="BA157" s="2">
        <f t="shared" si="150"/>
        <v>0.662487583100274</v>
      </c>
      <c r="BB157" s="2">
        <f t="shared" si="151"/>
        <v>0.062422862449066</v>
      </c>
      <c r="BC157" s="2">
        <f t="shared" si="152"/>
        <v>0.531240669837783</v>
      </c>
      <c r="BD157" s="2">
        <f t="shared" si="153"/>
        <v>0.062417790659996</v>
      </c>
      <c r="BE157" s="2">
        <f t="shared" si="154"/>
        <v>-0.0375809337741361</v>
      </c>
      <c r="BF157" s="2">
        <f t="shared" si="155"/>
        <v>0.329611600767804</v>
      </c>
    </row>
    <row r="158" s="2" customFormat="1" spans="1:58">
      <c r="A158" s="12">
        <v>230.5</v>
      </c>
      <c r="B158" s="6">
        <v>0.023651962633</v>
      </c>
      <c r="C158" s="6">
        <v>0.0478141930541</v>
      </c>
      <c r="D158" s="6">
        <v>0.0365096610754</v>
      </c>
      <c r="E158" s="6">
        <v>0.146487722063</v>
      </c>
      <c r="F158" s="6">
        <v>0.23024195346</v>
      </c>
      <c r="G158" s="2">
        <f t="shared" si="104"/>
        <v>4.81534746805179</v>
      </c>
      <c r="H158" s="2">
        <f t="shared" si="105"/>
        <v>0.1824277604059</v>
      </c>
      <c r="I158" s="2">
        <f t="shared" si="106"/>
        <v>0.656082459218895</v>
      </c>
      <c r="J158" s="2">
        <f t="shared" si="107"/>
        <v>-0.267554283081459</v>
      </c>
      <c r="K158" s="2">
        <f t="shared" si="108"/>
        <v>3.81534746805179</v>
      </c>
      <c r="L158" s="2">
        <f t="shared" si="109"/>
        <v>1.58214492054742</v>
      </c>
      <c r="M158" s="2">
        <f t="shared" si="110"/>
        <v>0.351699092456037</v>
      </c>
      <c r="N158" s="2">
        <f t="shared" si="111"/>
        <v>0.319878955881908</v>
      </c>
      <c r="O158" s="2">
        <f t="shared" si="112"/>
        <v>0.48308008860237</v>
      </c>
      <c r="P158" s="2">
        <f t="shared" si="113"/>
        <v>0.345959034680261</v>
      </c>
      <c r="Q158" s="2">
        <f t="shared" si="114"/>
        <v>0.726264741535014</v>
      </c>
      <c r="R158" s="2">
        <f t="shared" si="115"/>
        <v>6.30632952150673</v>
      </c>
      <c r="S158" s="2">
        <f t="shared" si="116"/>
        <v>0.526604824707685</v>
      </c>
      <c r="T158" s="2">
        <f t="shared" si="117"/>
        <v>-0.138459733118543</v>
      </c>
      <c r="U158" s="2">
        <f t="shared" si="118"/>
        <v>0.378999447888979</v>
      </c>
      <c r="V158" s="2">
        <f t="shared" si="119"/>
        <v>0.348419054953537</v>
      </c>
      <c r="W158" s="2">
        <f t="shared" si="120"/>
        <v>0.1937322923846</v>
      </c>
      <c r="X158" s="2">
        <f t="shared" si="121"/>
        <v>0.375101230677383</v>
      </c>
      <c r="Y158" s="2">
        <f t="shared" si="122"/>
        <v>1.10736838564906</v>
      </c>
      <c r="Z158" s="2">
        <f t="shared" si="123"/>
        <v>1.51124063393111</v>
      </c>
      <c r="AA158" s="2">
        <f t="shared" si="124"/>
        <v>3.1384093472428</v>
      </c>
      <c r="AB158" s="2">
        <f t="shared" si="125"/>
        <v>0.1333758072677</v>
      </c>
      <c r="AC158" s="2">
        <f t="shared" si="126"/>
        <v>1.57174915561169</v>
      </c>
      <c r="AD158" s="2">
        <f t="shared" si="127"/>
        <v>0.083754231397</v>
      </c>
      <c r="AE158" s="2">
        <f t="shared" si="128"/>
        <v>0.222319176955537</v>
      </c>
      <c r="AF158" s="2">
        <f t="shared" si="129"/>
        <v>0.13645575030289</v>
      </c>
      <c r="AG158" s="7">
        <f t="shared" si="130"/>
        <v>0.143295420017073</v>
      </c>
      <c r="AH158" s="2">
        <f t="shared" si="131"/>
        <v>45.218911105276</v>
      </c>
      <c r="AI158" s="2">
        <f t="shared" si="132"/>
        <v>0.571749155611689</v>
      </c>
      <c r="AJ158" s="2">
        <f t="shared" si="133"/>
        <v>0.356526018266008</v>
      </c>
      <c r="AK158" s="2">
        <f t="shared" si="134"/>
        <v>0.16384881976626</v>
      </c>
      <c r="AL158" s="2">
        <f t="shared" si="135"/>
        <v>0.181012738537049</v>
      </c>
      <c r="AM158" s="2">
        <f t="shared" si="136"/>
        <v>6.30632952150673</v>
      </c>
      <c r="AN158" s="2">
        <f t="shared" si="137"/>
        <v>0.1099780609876</v>
      </c>
      <c r="AO158" s="2">
        <f t="shared" si="138"/>
        <v>0.600981604772043</v>
      </c>
      <c r="AP158" s="2">
        <f t="shared" si="139"/>
        <v>4.01230024459752</v>
      </c>
      <c r="AQ158" s="2">
        <f t="shared" si="140"/>
        <v>0.0986735290089</v>
      </c>
      <c r="AR158" s="2">
        <f t="shared" si="141"/>
        <v>0.50783611139104</v>
      </c>
      <c r="AS158" s="2">
        <f t="shared" si="142"/>
        <v>0.761553992177069</v>
      </c>
      <c r="AT158" s="2">
        <f t="shared" si="143"/>
        <v>0.112624858331729</v>
      </c>
      <c r="AU158" s="2">
        <f t="shared" si="144"/>
        <v>0.345047315260889</v>
      </c>
      <c r="AV158" s="2">
        <f t="shared" si="145"/>
        <v>0.0883499169656284</v>
      </c>
      <c r="AW158" s="2">
        <f t="shared" si="146"/>
        <v>0.55716368958301</v>
      </c>
      <c r="AX158" s="2">
        <f t="shared" si="147"/>
        <v>-0.0149192976119</v>
      </c>
      <c r="AY158" s="7">
        <f t="shared" si="148"/>
        <v>1.06196716965416</v>
      </c>
      <c r="AZ158" s="2">
        <f t="shared" si="149"/>
        <v>0.11961050101482</v>
      </c>
      <c r="BA158" s="2">
        <f t="shared" si="150"/>
        <v>0.638142279171472</v>
      </c>
      <c r="BB158" s="2">
        <f t="shared" si="151"/>
        <v>0.0742945068015198</v>
      </c>
      <c r="BC158" s="2">
        <f t="shared" si="152"/>
        <v>0.569681766720597</v>
      </c>
      <c r="BD158" s="2">
        <f t="shared" si="153"/>
        <v>0.0685635540088729</v>
      </c>
      <c r="BE158" s="2">
        <f t="shared" si="154"/>
        <v>-0.033324612042204</v>
      </c>
      <c r="BF158" s="2">
        <f t="shared" si="155"/>
        <v>0.338858589848937</v>
      </c>
    </row>
    <row r="159" s="2" customFormat="1" spans="1:58">
      <c r="A159" s="12">
        <v>209.5</v>
      </c>
      <c r="B159" s="6">
        <v>0.0222539043288</v>
      </c>
      <c r="C159" s="6">
        <v>0.0490907780118</v>
      </c>
      <c r="D159" s="6">
        <v>0.0331783207842</v>
      </c>
      <c r="E159" s="6">
        <v>0.166345728721</v>
      </c>
      <c r="F159" s="6">
        <v>0.272540719827</v>
      </c>
      <c r="G159" s="2">
        <f t="shared" si="104"/>
        <v>5.55177022783157</v>
      </c>
      <c r="H159" s="2">
        <f t="shared" si="105"/>
        <v>0.2234499418152</v>
      </c>
      <c r="I159" s="2">
        <f t="shared" si="106"/>
        <v>0.694738989547572</v>
      </c>
      <c r="J159" s="2">
        <f t="shared" si="107"/>
        <v>-0.200327141475666</v>
      </c>
      <c r="K159" s="2">
        <f t="shared" si="108"/>
        <v>4.55177022783157</v>
      </c>
      <c r="L159" s="2">
        <f t="shared" si="109"/>
        <v>1.77828351191154</v>
      </c>
      <c r="M159" s="2">
        <f t="shared" si="110"/>
        <v>0.407938246774176</v>
      </c>
      <c r="N159" s="2">
        <f t="shared" si="111"/>
        <v>0.385346608094371</v>
      </c>
      <c r="O159" s="2">
        <f t="shared" si="112"/>
        <v>0.538174794773048</v>
      </c>
      <c r="P159" s="2">
        <f t="shared" si="113"/>
        <v>0.394004297934878</v>
      </c>
      <c r="Q159" s="2">
        <f t="shared" si="114"/>
        <v>0.782948940845364</v>
      </c>
      <c r="R159" s="2">
        <f t="shared" si="115"/>
        <v>8.21442174845654</v>
      </c>
      <c r="S159" s="2">
        <f t="shared" si="116"/>
        <v>0.596197189028931</v>
      </c>
      <c r="T159" s="2">
        <f t="shared" si="117"/>
        <v>-0.00718596476011746</v>
      </c>
      <c r="U159" s="2">
        <f t="shared" si="118"/>
        <v>0.44561885777434</v>
      </c>
      <c r="V159" s="2">
        <f t="shared" si="119"/>
        <v>0.428892111936295</v>
      </c>
      <c r="W159" s="2">
        <f t="shared" si="120"/>
        <v>0.2393623990428</v>
      </c>
      <c r="X159" s="2">
        <f t="shared" si="121"/>
        <v>0.432907076413363</v>
      </c>
      <c r="Y159" s="2">
        <f t="shared" si="122"/>
        <v>1.1326733601729</v>
      </c>
      <c r="Z159" s="2">
        <f t="shared" si="123"/>
        <v>1.86608125294042</v>
      </c>
      <c r="AA159" s="2">
        <f t="shared" si="124"/>
        <v>3.22386927712191</v>
      </c>
      <c r="AB159" s="2">
        <f t="shared" si="125"/>
        <v>0.1528595203056</v>
      </c>
      <c r="AC159" s="2">
        <f t="shared" si="126"/>
        <v>1.63839926592954</v>
      </c>
      <c r="AD159" s="2">
        <f t="shared" si="127"/>
        <v>0.106194991106</v>
      </c>
      <c r="AE159" s="2">
        <f t="shared" si="128"/>
        <v>0.241964616263119</v>
      </c>
      <c r="AF159" s="2">
        <f t="shared" si="129"/>
        <v>0.16029794219524</v>
      </c>
      <c r="AG159" s="7">
        <f t="shared" si="130"/>
        <v>0.169661077657844</v>
      </c>
      <c r="AH159" s="2">
        <f t="shared" si="131"/>
        <v>49.3719707821896</v>
      </c>
      <c r="AI159" s="2">
        <f t="shared" si="132"/>
        <v>0.638399265929535</v>
      </c>
      <c r="AJ159" s="2">
        <f t="shared" si="133"/>
        <v>0.393026759144078</v>
      </c>
      <c r="AK159" s="2">
        <f t="shared" si="134"/>
        <v>0.197702274155225</v>
      </c>
      <c r="AL159" s="2">
        <f t="shared" si="135"/>
        <v>0.205692063965757</v>
      </c>
      <c r="AM159" s="2">
        <f t="shared" si="136"/>
        <v>8.21442174845654</v>
      </c>
      <c r="AN159" s="2">
        <f t="shared" si="137"/>
        <v>0.1331674079368</v>
      </c>
      <c r="AO159" s="2">
        <f t="shared" si="138"/>
        <v>0.667425346804268</v>
      </c>
      <c r="AP159" s="2">
        <f t="shared" si="139"/>
        <v>5.01368739554222</v>
      </c>
      <c r="AQ159" s="2">
        <f t="shared" si="140"/>
        <v>0.1172549507092</v>
      </c>
      <c r="AR159" s="2">
        <f t="shared" si="141"/>
        <v>0.544266858423527</v>
      </c>
      <c r="AS159" s="2">
        <f t="shared" si="142"/>
        <v>0.797454818347137</v>
      </c>
      <c r="AT159" s="2">
        <f t="shared" si="143"/>
        <v>0.100600551295982</v>
      </c>
      <c r="AU159" s="2">
        <f t="shared" si="144"/>
        <v>0.340888303115545</v>
      </c>
      <c r="AV159" s="2">
        <f t="shared" si="145"/>
        <v>0.0702834079974561</v>
      </c>
      <c r="AW159" s="2">
        <f t="shared" si="146"/>
        <v>0.577337555209947</v>
      </c>
      <c r="AX159" s="2">
        <f t="shared" si="147"/>
        <v>-0.0110599596032</v>
      </c>
      <c r="AY159" s="7">
        <f t="shared" si="148"/>
        <v>1.07121262640901</v>
      </c>
      <c r="AZ159" s="2">
        <f t="shared" si="149"/>
        <v>0.139551459809525</v>
      </c>
      <c r="BA159" s="2">
        <f t="shared" si="150"/>
        <v>0.599863845850007</v>
      </c>
      <c r="BB159" s="2">
        <f t="shared" si="151"/>
        <v>0.10076975134506</v>
      </c>
      <c r="BC159" s="2">
        <f t="shared" si="152"/>
        <v>0.68130682611455</v>
      </c>
      <c r="BD159" s="2">
        <f t="shared" si="153"/>
        <v>0.0832822659882864</v>
      </c>
      <c r="BE159" s="2">
        <f t="shared" si="154"/>
        <v>-0.029996935913712</v>
      </c>
      <c r="BF159" s="2">
        <f t="shared" si="155"/>
        <v>0.348281325653957</v>
      </c>
    </row>
    <row r="160" s="2" customFormat="1" spans="1:58">
      <c r="A160" s="12">
        <v>233.5</v>
      </c>
      <c r="B160" s="6">
        <v>0.0224810156428</v>
      </c>
      <c r="C160" s="6">
        <v>0.0485597972285</v>
      </c>
      <c r="D160" s="6">
        <v>0.0338026805695</v>
      </c>
      <c r="E160" s="6">
        <v>0.155565604987</v>
      </c>
      <c r="F160" s="6">
        <v>0.248603206884</v>
      </c>
      <c r="G160" s="2">
        <f t="shared" si="104"/>
        <v>5.11952728538359</v>
      </c>
      <c r="H160" s="2">
        <f t="shared" si="105"/>
        <v>0.2000434096555</v>
      </c>
      <c r="I160" s="2">
        <f t="shared" si="106"/>
        <v>0.673177370288556</v>
      </c>
      <c r="J160" s="2">
        <f t="shared" si="107"/>
        <v>-0.238893878338291</v>
      </c>
      <c r="K160" s="2">
        <f t="shared" si="108"/>
        <v>4.11952728538359</v>
      </c>
      <c r="L160" s="2">
        <f t="shared" si="109"/>
        <v>1.6652845236795</v>
      </c>
      <c r="M160" s="2">
        <f t="shared" si="110"/>
        <v>0.376416257321574</v>
      </c>
      <c r="N160" s="2">
        <f t="shared" si="111"/>
        <v>0.348203479054411</v>
      </c>
      <c r="O160" s="2">
        <f t="shared" si="112"/>
        <v>0.507587781847886</v>
      </c>
      <c r="P160" s="2">
        <f t="shared" si="113"/>
        <v>0.366966887410085</v>
      </c>
      <c r="Q160" s="2">
        <f t="shared" si="114"/>
        <v>0.76060923605875</v>
      </c>
      <c r="R160" s="2">
        <f t="shared" si="115"/>
        <v>7.35454119896969</v>
      </c>
      <c r="S160" s="2">
        <f t="shared" si="116"/>
        <v>0.563212691311685</v>
      </c>
      <c r="T160" s="2">
        <f t="shared" si="117"/>
        <v>-0.0623916345294707</v>
      </c>
      <c r="U160" s="2">
        <f t="shared" si="118"/>
        <v>0.411807726192371</v>
      </c>
      <c r="V160" s="2">
        <f t="shared" si="119"/>
        <v>0.386932488235104</v>
      </c>
      <c r="W160" s="2">
        <f t="shared" si="120"/>
        <v>0.2148005263145</v>
      </c>
      <c r="X160" s="2">
        <f t="shared" si="121"/>
        <v>0.404202009179926</v>
      </c>
      <c r="Y160" s="2">
        <f t="shared" si="122"/>
        <v>1.12276855854568</v>
      </c>
      <c r="Z160" s="2">
        <f t="shared" si="123"/>
        <v>1.71192573625638</v>
      </c>
      <c r="AA160" s="2">
        <f t="shared" si="124"/>
        <v>3.18232042900947</v>
      </c>
      <c r="AB160" s="2">
        <f t="shared" si="125"/>
        <v>0.14120294372675</v>
      </c>
      <c r="AC160" s="2">
        <f t="shared" si="126"/>
        <v>1.59806023256089</v>
      </c>
      <c r="AD160" s="2">
        <f t="shared" si="127"/>
        <v>0.093037601897</v>
      </c>
      <c r="AE160" s="2">
        <f t="shared" si="128"/>
        <v>0.230194906594364</v>
      </c>
      <c r="AF160" s="2">
        <f t="shared" si="129"/>
        <v>0.146344737105383</v>
      </c>
      <c r="AG160" s="7">
        <f t="shared" si="130"/>
        <v>0.154347729111244</v>
      </c>
      <c r="AH160" s="2">
        <f t="shared" si="131"/>
        <v>46.8790539099876</v>
      </c>
      <c r="AI160" s="2">
        <f t="shared" si="132"/>
        <v>0.598060232560885</v>
      </c>
      <c r="AJ160" s="2">
        <f t="shared" si="133"/>
        <v>0.371039646631134</v>
      </c>
      <c r="AK160" s="2">
        <f t="shared" si="134"/>
        <v>0.178368293341599</v>
      </c>
      <c r="AL160" s="2">
        <f t="shared" si="135"/>
        <v>0.191296675621972</v>
      </c>
      <c r="AM160" s="2">
        <f t="shared" si="136"/>
        <v>7.35454119896969</v>
      </c>
      <c r="AN160" s="2">
        <f t="shared" si="137"/>
        <v>0.1217629244175</v>
      </c>
      <c r="AO160" s="2">
        <f t="shared" si="138"/>
        <v>0.642995336096924</v>
      </c>
      <c r="AP160" s="2">
        <f t="shared" si="139"/>
        <v>4.60216770877533</v>
      </c>
      <c r="AQ160" s="2">
        <f t="shared" si="140"/>
        <v>0.1070058077585</v>
      </c>
      <c r="AR160" s="2">
        <f t="shared" si="141"/>
        <v>0.524216028956217</v>
      </c>
      <c r="AS160" s="2">
        <f t="shared" si="142"/>
        <v>0.764088102696952</v>
      </c>
      <c r="AT160" s="2">
        <f t="shared" si="143"/>
        <v>0.107260279674147</v>
      </c>
      <c r="AU160" s="2">
        <f t="shared" si="144"/>
        <v>0.343617791896182</v>
      </c>
      <c r="AV160" s="2">
        <f t="shared" si="145"/>
        <v>0.0771800931178008</v>
      </c>
      <c r="AW160" s="2">
        <f t="shared" si="146"/>
        <v>0.567624174575183</v>
      </c>
      <c r="AX160" s="2">
        <f t="shared" si="147"/>
        <v>-0.0139682058615</v>
      </c>
      <c r="AY160" s="7">
        <f t="shared" si="148"/>
        <v>1.07376957173652</v>
      </c>
      <c r="AZ160" s="2">
        <f t="shared" si="149"/>
        <v>0.127953688466624</v>
      </c>
      <c r="BA160" s="2">
        <f t="shared" si="150"/>
        <v>0.61930526303087</v>
      </c>
      <c r="BB160" s="2">
        <f t="shared" si="151"/>
        <v>0.0847434081731587</v>
      </c>
      <c r="BC160" s="2">
        <f t="shared" si="152"/>
        <v>0.617776375395257</v>
      </c>
      <c r="BD160" s="2">
        <f t="shared" si="153"/>
        <v>0.0731542982691898</v>
      </c>
      <c r="BE160" s="2">
        <f t="shared" si="154"/>
        <v>-0.0329549133715801</v>
      </c>
      <c r="BF160" s="2">
        <f t="shared" si="155"/>
        <v>0.341952829602237</v>
      </c>
    </row>
    <row r="161" s="2" customFormat="1" spans="1:58">
      <c r="A161" s="12">
        <v>235</v>
      </c>
      <c r="B161" s="6">
        <v>0.0233282774627</v>
      </c>
      <c r="C161" s="6">
        <v>0.0476486242502</v>
      </c>
      <c r="D161" s="6">
        <v>0.0343656387769</v>
      </c>
      <c r="E161" s="6">
        <v>0.151756878969</v>
      </c>
      <c r="F161" s="6">
        <v>0.246719132209</v>
      </c>
      <c r="G161" s="2">
        <f t="shared" si="104"/>
        <v>5.17788574363644</v>
      </c>
      <c r="H161" s="2">
        <f t="shared" si="105"/>
        <v>0.1990705079588</v>
      </c>
      <c r="I161" s="2">
        <f t="shared" si="106"/>
        <v>0.676264650562677</v>
      </c>
      <c r="J161" s="2">
        <f t="shared" si="107"/>
        <v>-0.233542774469214</v>
      </c>
      <c r="K161" s="2">
        <f t="shared" si="108"/>
        <v>4.17788574363644</v>
      </c>
      <c r="L161" s="2">
        <f t="shared" si="109"/>
        <v>1.68087966330463</v>
      </c>
      <c r="M161" s="2">
        <f t="shared" si="110"/>
        <v>0.375903678756046</v>
      </c>
      <c r="N161" s="2">
        <f t="shared" si="111"/>
        <v>0.347409169286257</v>
      </c>
      <c r="O161" s="2">
        <f t="shared" si="112"/>
        <v>0.508226620286036</v>
      </c>
      <c r="P161" s="2">
        <f t="shared" si="113"/>
        <v>0.366911907005064</v>
      </c>
      <c r="Q161" s="2">
        <f t="shared" si="114"/>
        <v>0.755478472516578</v>
      </c>
      <c r="R161" s="2">
        <f t="shared" si="115"/>
        <v>7.17923894302353</v>
      </c>
      <c r="S161" s="2">
        <f t="shared" si="116"/>
        <v>0.558464196872284</v>
      </c>
      <c r="T161" s="2">
        <f t="shared" si="117"/>
        <v>-0.0743973578172326</v>
      </c>
      <c r="U161" s="2">
        <f t="shared" si="118"/>
        <v>0.407804955339348</v>
      </c>
      <c r="V161" s="2">
        <f t="shared" si="119"/>
        <v>0.382188645770949</v>
      </c>
      <c r="W161" s="2">
        <f t="shared" si="120"/>
        <v>0.2123534934321</v>
      </c>
      <c r="X161" s="2">
        <f t="shared" si="121"/>
        <v>0.400535257938227</v>
      </c>
      <c r="Y161" s="2">
        <f t="shared" si="122"/>
        <v>1.12048135750515</v>
      </c>
      <c r="Z161" s="2">
        <f t="shared" si="123"/>
        <v>1.67941018566093</v>
      </c>
      <c r="AA161" s="2">
        <f t="shared" si="124"/>
        <v>3.17582804319357</v>
      </c>
      <c r="AB161" s="2">
        <f t="shared" si="125"/>
        <v>0.14054238549295</v>
      </c>
      <c r="AC161" s="2">
        <f t="shared" si="126"/>
        <v>1.62575254502564</v>
      </c>
      <c r="AD161" s="2">
        <f t="shared" si="127"/>
        <v>0.09496225324</v>
      </c>
      <c r="AE161" s="2">
        <f t="shared" si="128"/>
        <v>0.238313601261131</v>
      </c>
      <c r="AF161" s="2">
        <f t="shared" si="129"/>
        <v>0.150435356726721</v>
      </c>
      <c r="AG161" s="7">
        <f t="shared" si="130"/>
        <v>0.158538879266505</v>
      </c>
      <c r="AH161" s="2">
        <f t="shared" si="131"/>
        <v>48.597081321301</v>
      </c>
      <c r="AI161" s="2">
        <f t="shared" si="132"/>
        <v>0.625752545025641</v>
      </c>
      <c r="AJ161" s="2">
        <f t="shared" si="133"/>
        <v>0.386167505758031</v>
      </c>
      <c r="AK161" s="2">
        <f t="shared" si="134"/>
        <v>0.182366095398589</v>
      </c>
      <c r="AL161" s="2">
        <f t="shared" si="135"/>
        <v>0.197244306923848</v>
      </c>
      <c r="AM161" s="2">
        <f t="shared" si="136"/>
        <v>7.17923894302353</v>
      </c>
      <c r="AN161" s="2">
        <f t="shared" si="137"/>
        <v>0.1173912401921</v>
      </c>
      <c r="AO161" s="2">
        <f t="shared" si="138"/>
        <v>0.630720246071279</v>
      </c>
      <c r="AP161" s="2">
        <f t="shared" si="139"/>
        <v>4.4159481496677</v>
      </c>
      <c r="AQ161" s="2">
        <f t="shared" si="140"/>
        <v>0.1041082547188</v>
      </c>
      <c r="AR161" s="2">
        <f t="shared" si="141"/>
        <v>0.522093187189308</v>
      </c>
      <c r="AS161" s="2">
        <f t="shared" si="142"/>
        <v>0.808938154879384</v>
      </c>
      <c r="AT161" s="2">
        <f t="shared" si="143"/>
        <v>0.106805633372983</v>
      </c>
      <c r="AU161" s="2">
        <f t="shared" si="144"/>
        <v>0.340167000244989</v>
      </c>
      <c r="AV161" s="2">
        <f t="shared" si="145"/>
        <v>0.079395406566075</v>
      </c>
      <c r="AW161" s="2">
        <f t="shared" si="146"/>
        <v>0.569998594716352</v>
      </c>
      <c r="AX161" s="2">
        <f t="shared" si="147"/>
        <v>-0.00914600147880001</v>
      </c>
      <c r="AY161" s="7">
        <f t="shared" si="148"/>
        <v>1.06672502928485</v>
      </c>
      <c r="AZ161" s="2">
        <f t="shared" si="149"/>
        <v>0.131899659471982</v>
      </c>
      <c r="BA161" s="2">
        <f t="shared" si="150"/>
        <v>0.627548908967353</v>
      </c>
      <c r="BB161" s="2">
        <f t="shared" si="151"/>
        <v>0.0896572478955862</v>
      </c>
      <c r="BC161" s="2">
        <f t="shared" si="152"/>
        <v>0.614289983028881</v>
      </c>
      <c r="BD161" s="2">
        <f t="shared" si="153"/>
        <v>0.0777462202846065</v>
      </c>
      <c r="BE161" s="2">
        <f t="shared" si="154"/>
        <v>-0.025663232695728</v>
      </c>
      <c r="BF161" s="2">
        <f t="shared" si="155"/>
        <v>0.35239695149354</v>
      </c>
    </row>
    <row r="162" s="2" customFormat="1" spans="1:58">
      <c r="A162" s="12">
        <v>232</v>
      </c>
      <c r="B162" s="6">
        <v>0.0232331094823</v>
      </c>
      <c r="C162" s="6">
        <v>0.0453977818202</v>
      </c>
      <c r="D162" s="6">
        <v>0.0348802715027</v>
      </c>
      <c r="E162" s="6">
        <v>0.140312869228</v>
      </c>
      <c r="F162" s="6">
        <v>0.23034071279</v>
      </c>
      <c r="G162" s="2">
        <f t="shared" si="104"/>
        <v>5.07383188240947</v>
      </c>
      <c r="H162" s="2">
        <f t="shared" si="105"/>
        <v>0.1849429309698</v>
      </c>
      <c r="I162" s="2">
        <f t="shared" si="106"/>
        <v>0.670718577873017</v>
      </c>
      <c r="J162" s="2">
        <f t="shared" si="107"/>
        <v>-0.243116378330038</v>
      </c>
      <c r="K162" s="2">
        <f t="shared" si="108"/>
        <v>4.07383188240947</v>
      </c>
      <c r="L162" s="2">
        <f t="shared" si="109"/>
        <v>1.65299568259068</v>
      </c>
      <c r="M162" s="2">
        <f t="shared" si="110"/>
        <v>0.357613291569471</v>
      </c>
      <c r="N162" s="2">
        <f t="shared" si="111"/>
        <v>0.325974919455542</v>
      </c>
      <c r="O162" s="2">
        <f t="shared" si="112"/>
        <v>0.492345300171113</v>
      </c>
      <c r="P162" s="2">
        <f t="shared" si="113"/>
        <v>0.352199743963183</v>
      </c>
      <c r="Q162" s="2">
        <f t="shared" si="114"/>
        <v>0.736972007733703</v>
      </c>
      <c r="R162" s="2">
        <f t="shared" si="115"/>
        <v>6.60375343615573</v>
      </c>
      <c r="S162" s="2">
        <f t="shared" si="116"/>
        <v>0.533214776007376</v>
      </c>
      <c r="T162" s="2">
        <f t="shared" si="117"/>
        <v>-0.115790978781116</v>
      </c>
      <c r="U162" s="2">
        <f t="shared" si="118"/>
        <v>0.383145088737926</v>
      </c>
      <c r="V162" s="2">
        <f t="shared" si="119"/>
        <v>0.352879888088939</v>
      </c>
      <c r="W162" s="2">
        <f t="shared" si="120"/>
        <v>0.1954604412873</v>
      </c>
      <c r="X162" s="2">
        <f t="shared" si="121"/>
        <v>0.379537710706087</v>
      </c>
      <c r="Y162" s="2">
        <f t="shared" si="122"/>
        <v>1.11219243287019</v>
      </c>
      <c r="Z162" s="2">
        <f t="shared" si="123"/>
        <v>1.56977692342268</v>
      </c>
      <c r="AA162" s="2">
        <f t="shared" si="124"/>
        <v>3.14909166962462</v>
      </c>
      <c r="AB162" s="2">
        <f t="shared" si="125"/>
        <v>0.13261049214635</v>
      </c>
      <c r="AC162" s="2">
        <f t="shared" si="126"/>
        <v>1.6416221409863</v>
      </c>
      <c r="AD162" s="2">
        <f t="shared" si="127"/>
        <v>0.090027843562</v>
      </c>
      <c r="AE162" s="2">
        <f t="shared" si="128"/>
        <v>0.242889446992119</v>
      </c>
      <c r="AF162" s="2">
        <f t="shared" si="129"/>
        <v>0.147874315337949</v>
      </c>
      <c r="AG162" s="7">
        <f t="shared" si="130"/>
        <v>0.155103899107611</v>
      </c>
      <c r="AH162" s="2">
        <f t="shared" si="131"/>
        <v>49.568486334628</v>
      </c>
      <c r="AI162" s="2">
        <f t="shared" si="132"/>
        <v>0.6416221409863</v>
      </c>
      <c r="AJ162" s="2">
        <f t="shared" si="133"/>
        <v>0.394769865873855</v>
      </c>
      <c r="AK162" s="2">
        <f t="shared" si="134"/>
        <v>0.176474205641159</v>
      </c>
      <c r="AL162" s="2">
        <f t="shared" si="135"/>
        <v>0.196799384892078</v>
      </c>
      <c r="AM162" s="2">
        <f t="shared" si="136"/>
        <v>6.60375343615573</v>
      </c>
      <c r="AN162" s="2">
        <f t="shared" si="137"/>
        <v>0.1054325977253</v>
      </c>
      <c r="AO162" s="2">
        <f t="shared" si="138"/>
        <v>0.601807795017311</v>
      </c>
      <c r="AP162" s="2">
        <f t="shared" si="139"/>
        <v>4.0227000302202</v>
      </c>
      <c r="AQ162" s="2">
        <f t="shared" si="140"/>
        <v>0.0949150874078</v>
      </c>
      <c r="AR162" s="2">
        <f t="shared" si="141"/>
        <v>0.511091242597418</v>
      </c>
      <c r="AS162" s="2">
        <f t="shared" si="142"/>
        <v>0.85389002551719</v>
      </c>
      <c r="AT162" s="2">
        <f t="shared" si="143"/>
        <v>0.109115810609036</v>
      </c>
      <c r="AU162" s="2">
        <f t="shared" si="144"/>
        <v>0.337248910647885</v>
      </c>
      <c r="AV162" s="2">
        <f t="shared" si="145"/>
        <v>0.0860107515066423</v>
      </c>
      <c r="AW162" s="2">
        <f t="shared" si="146"/>
        <v>0.567993795808326</v>
      </c>
      <c r="AX162" s="2">
        <f t="shared" si="147"/>
        <v>-0.00488724384579996</v>
      </c>
      <c r="AY162" s="7">
        <f t="shared" si="148"/>
        <v>1.05686895012612</v>
      </c>
      <c r="AZ162" s="2">
        <f t="shared" si="149"/>
        <v>0.129967729187838</v>
      </c>
      <c r="BA162" s="2">
        <f t="shared" si="150"/>
        <v>0.646125518399201</v>
      </c>
      <c r="BB162" s="2">
        <f t="shared" si="151"/>
        <v>0.0870704192368452</v>
      </c>
      <c r="BC162" s="2">
        <f t="shared" si="152"/>
        <v>0.573012071707345</v>
      </c>
      <c r="BD162" s="2">
        <f t="shared" si="153"/>
        <v>0.0775602178234895</v>
      </c>
      <c r="BE162" s="2">
        <f t="shared" si="154"/>
        <v>-0.0184274416268879</v>
      </c>
      <c r="BF162" s="2">
        <f t="shared" si="155"/>
        <v>0.362133173293589</v>
      </c>
    </row>
    <row r="163" s="2" customFormat="1" spans="1:58">
      <c r="A163" s="12">
        <v>234.5</v>
      </c>
      <c r="B163" s="6">
        <v>0.0248873218229</v>
      </c>
      <c r="C163" s="6">
        <v>0.0472991225808</v>
      </c>
      <c r="D163" s="6">
        <v>0.0372156181042</v>
      </c>
      <c r="E163" s="6">
        <v>0.146388311466</v>
      </c>
      <c r="F163" s="6">
        <v>0.244793929814</v>
      </c>
      <c r="G163" s="2">
        <f t="shared" si="104"/>
        <v>5.17544335829537</v>
      </c>
      <c r="H163" s="2">
        <f t="shared" si="105"/>
        <v>0.1974948072332</v>
      </c>
      <c r="I163" s="2">
        <f t="shared" si="106"/>
        <v>0.676136613363406</v>
      </c>
      <c r="J163" s="2">
        <f t="shared" si="107"/>
        <v>-0.233765798867257</v>
      </c>
      <c r="K163" s="2">
        <f t="shared" si="108"/>
        <v>4.17544335829537</v>
      </c>
      <c r="L163" s="2">
        <f t="shared" si="109"/>
        <v>1.6802291901906</v>
      </c>
      <c r="M163" s="2">
        <f t="shared" si="110"/>
        <v>0.373999254196393</v>
      </c>
      <c r="N163" s="2">
        <f t="shared" si="111"/>
        <v>0.345133594752611</v>
      </c>
      <c r="O163" s="2">
        <f t="shared" si="112"/>
        <v>0.506740758737541</v>
      </c>
      <c r="P163" s="2">
        <f t="shared" si="113"/>
        <v>0.365422317489661</v>
      </c>
      <c r="Q163" s="2">
        <f t="shared" si="114"/>
        <v>0.73606838223084</v>
      </c>
      <c r="R163" s="2">
        <f t="shared" si="115"/>
        <v>6.57772038418391</v>
      </c>
      <c r="S163" s="2">
        <f t="shared" si="116"/>
        <v>0.544763891905633</v>
      </c>
      <c r="T163" s="2">
        <f t="shared" si="117"/>
        <v>-0.117739026524126</v>
      </c>
      <c r="U163" s="2">
        <f t="shared" si="118"/>
        <v>0.398163255670722</v>
      </c>
      <c r="V163" s="2">
        <f t="shared" si="119"/>
        <v>0.371214788977441</v>
      </c>
      <c r="W163" s="2">
        <f t="shared" si="120"/>
        <v>0.2075783117098</v>
      </c>
      <c r="X163" s="2">
        <f t="shared" si="121"/>
        <v>0.39088595790389</v>
      </c>
      <c r="Y163" s="2">
        <f t="shared" si="122"/>
        <v>1.11178612252125</v>
      </c>
      <c r="Z163" s="2">
        <f t="shared" si="123"/>
        <v>1.56470668579935</v>
      </c>
      <c r="AA163" s="2">
        <f t="shared" si="124"/>
        <v>3.15443479559863</v>
      </c>
      <c r="AB163" s="2">
        <f t="shared" si="125"/>
        <v>0.1410047739591</v>
      </c>
      <c r="AC163" s="2">
        <f t="shared" si="126"/>
        <v>1.67222319434196</v>
      </c>
      <c r="AD163" s="2">
        <f t="shared" si="127"/>
        <v>0.098405618348</v>
      </c>
      <c r="AE163" s="2">
        <f t="shared" si="128"/>
        <v>0.251559523832176</v>
      </c>
      <c r="AF163" s="2">
        <f t="shared" si="129"/>
        <v>0.157336805910231</v>
      </c>
      <c r="AG163" s="7">
        <f t="shared" si="130"/>
        <v>0.165632146473196</v>
      </c>
      <c r="AH163" s="2">
        <f t="shared" si="131"/>
        <v>51.4153995192558</v>
      </c>
      <c r="AI163" s="2">
        <f t="shared" si="132"/>
        <v>0.672223194341958</v>
      </c>
      <c r="AJ163" s="2">
        <f t="shared" si="133"/>
        <v>0.411222745817406</v>
      </c>
      <c r="AK163" s="2">
        <f t="shared" si="134"/>
        <v>0.188755275322342</v>
      </c>
      <c r="AL163" s="2">
        <f t="shared" si="135"/>
        <v>0.207101224848229</v>
      </c>
      <c r="AM163" s="2">
        <f t="shared" si="136"/>
        <v>6.57772038418391</v>
      </c>
      <c r="AN163" s="2">
        <f t="shared" si="137"/>
        <v>0.1091726933618</v>
      </c>
      <c r="AO163" s="2">
        <f t="shared" si="138"/>
        <v>0.59460978649729</v>
      </c>
      <c r="AP163" s="2">
        <f t="shared" si="139"/>
        <v>3.93351820883714</v>
      </c>
      <c r="AQ163" s="2">
        <f t="shared" si="140"/>
        <v>0.0990891888852</v>
      </c>
      <c r="AR163" s="2">
        <f t="shared" si="141"/>
        <v>0.511593275902749</v>
      </c>
      <c r="AS163" s="2">
        <f t="shared" si="142"/>
        <v>0.901375749903708</v>
      </c>
      <c r="AT163" s="2">
        <f t="shared" si="143"/>
        <v>0.107870314405917</v>
      </c>
      <c r="AU163" s="2">
        <f t="shared" si="144"/>
        <v>0.333852983344743</v>
      </c>
      <c r="AV163" s="2">
        <f t="shared" si="145"/>
        <v>0.0868716247968548</v>
      </c>
      <c r="AW163" s="2">
        <f t="shared" si="146"/>
        <v>0.571417257233448</v>
      </c>
      <c r="AX163" s="2">
        <f t="shared" si="147"/>
        <v>-0.000683570537200022</v>
      </c>
      <c r="AY163" s="7">
        <f t="shared" si="148"/>
        <v>1.05105706128614</v>
      </c>
      <c r="AZ163" s="2">
        <f t="shared" si="149"/>
        <v>0.139118285158639</v>
      </c>
      <c r="BA163" s="2">
        <f t="shared" si="150"/>
        <v>0.650756163635176</v>
      </c>
      <c r="BB163" s="2">
        <f t="shared" si="151"/>
        <v>0.0985050779715979</v>
      </c>
      <c r="BC163" s="2">
        <f t="shared" si="152"/>
        <v>0.61141455750257</v>
      </c>
      <c r="BD163" s="2">
        <f t="shared" si="153"/>
        <v>0.0869464945539165</v>
      </c>
      <c r="BE163" s="2">
        <f t="shared" si="154"/>
        <v>-0.012875044239792</v>
      </c>
      <c r="BF163" s="2">
        <f t="shared" si="155"/>
        <v>0.372054284386118</v>
      </c>
    </row>
    <row r="164" s="2" customFormat="1" spans="1:58">
      <c r="A164" s="12">
        <v>209</v>
      </c>
      <c r="B164" s="6">
        <v>0.0241605855357</v>
      </c>
      <c r="C164" s="6">
        <v>0.0473068724718</v>
      </c>
      <c r="D164" s="6">
        <v>0.0372927239869</v>
      </c>
      <c r="E164" s="6">
        <v>0.143656878733</v>
      </c>
      <c r="F164" s="6">
        <v>0.223866644461</v>
      </c>
      <c r="G164" s="2">
        <f t="shared" si="104"/>
        <v>4.73222246079465</v>
      </c>
      <c r="H164" s="2">
        <f t="shared" si="105"/>
        <v>0.1765597719892</v>
      </c>
      <c r="I164" s="2">
        <f t="shared" si="106"/>
        <v>0.651095188004489</v>
      </c>
      <c r="J164" s="2">
        <f t="shared" si="107"/>
        <v>-0.275618651765057</v>
      </c>
      <c r="K164" s="2">
        <f t="shared" si="108"/>
        <v>3.73222246079465</v>
      </c>
      <c r="L164" s="2">
        <f t="shared" si="109"/>
        <v>1.55885601797782</v>
      </c>
      <c r="M164" s="2">
        <f t="shared" si="110"/>
        <v>0.343424212798633</v>
      </c>
      <c r="N164" s="2">
        <f t="shared" si="111"/>
        <v>0.310510411914752</v>
      </c>
      <c r="O164" s="2">
        <f t="shared" si="112"/>
        <v>0.475004441284812</v>
      </c>
      <c r="P164" s="2">
        <f t="shared" si="113"/>
        <v>0.339053414578497</v>
      </c>
      <c r="Q164" s="2">
        <f t="shared" si="114"/>
        <v>0.714406385583371</v>
      </c>
      <c r="R164" s="2">
        <f t="shared" si="115"/>
        <v>6.00295769597412</v>
      </c>
      <c r="S164" s="2">
        <f t="shared" si="116"/>
        <v>0.513880882069774</v>
      </c>
      <c r="T164" s="2">
        <f t="shared" si="117"/>
        <v>-0.162550804290682</v>
      </c>
      <c r="U164" s="2">
        <f t="shared" si="118"/>
        <v>0.367677115085401</v>
      </c>
      <c r="V164" s="2">
        <f t="shared" si="119"/>
        <v>0.335491725066058</v>
      </c>
      <c r="W164" s="2">
        <f t="shared" si="120"/>
        <v>0.1865739204741</v>
      </c>
      <c r="X164" s="2">
        <f t="shared" si="121"/>
        <v>0.365088482658685</v>
      </c>
      <c r="Y164" s="2">
        <f t="shared" si="122"/>
        <v>1.10200108238757</v>
      </c>
      <c r="Z164" s="2">
        <f t="shared" si="123"/>
        <v>1.45009340556113</v>
      </c>
      <c r="AA164" s="2">
        <f t="shared" si="124"/>
        <v>3.12475135185717</v>
      </c>
      <c r="AB164" s="2">
        <f t="shared" si="125"/>
        <v>0.13057968422395</v>
      </c>
      <c r="AC164" s="2">
        <f t="shared" si="126"/>
        <v>1.55834267342727</v>
      </c>
      <c r="AD164" s="2">
        <f t="shared" si="127"/>
        <v>0.080209765728</v>
      </c>
      <c r="AE164" s="2">
        <f t="shared" si="128"/>
        <v>0.218243896420368</v>
      </c>
      <c r="AF164" s="2">
        <f t="shared" si="129"/>
        <v>0.132307565178427</v>
      </c>
      <c r="AG164" s="7">
        <f t="shared" si="130"/>
        <v>0.138687476910173</v>
      </c>
      <c r="AH164" s="2">
        <f t="shared" si="131"/>
        <v>44.3622867697745</v>
      </c>
      <c r="AI164" s="2">
        <f t="shared" si="132"/>
        <v>0.558342673427267</v>
      </c>
      <c r="AJ164" s="2">
        <f t="shared" si="133"/>
        <v>0.349077184282405</v>
      </c>
      <c r="AK164" s="2">
        <f t="shared" si="134"/>
        <v>0.158067618398151</v>
      </c>
      <c r="AL164" s="2">
        <f t="shared" si="135"/>
        <v>0.17637759105249</v>
      </c>
      <c r="AM164" s="2">
        <f t="shared" si="136"/>
        <v>6.00295769597412</v>
      </c>
      <c r="AN164" s="2">
        <f t="shared" si="137"/>
        <v>0.1063641547461</v>
      </c>
      <c r="AO164" s="2">
        <f t="shared" si="138"/>
        <v>0.587810932697906</v>
      </c>
      <c r="AP164" s="2">
        <f t="shared" si="139"/>
        <v>3.85214227803426</v>
      </c>
      <c r="AQ164" s="2">
        <f t="shared" si="140"/>
        <v>0.0963500062612</v>
      </c>
      <c r="AR164" s="2">
        <f t="shared" si="141"/>
        <v>0.504546049463958</v>
      </c>
      <c r="AS164" s="2">
        <f t="shared" si="142"/>
        <v>0.754105233285286</v>
      </c>
      <c r="AT164" s="2">
        <f t="shared" si="143"/>
        <v>0.114039069861004</v>
      </c>
      <c r="AU164" s="2">
        <f t="shared" si="144"/>
        <v>0.346302682334624</v>
      </c>
      <c r="AV164" s="2">
        <f t="shared" si="145"/>
        <v>0.092122596972337</v>
      </c>
      <c r="AW164" s="2">
        <f t="shared" si="146"/>
        <v>0.553008052468212</v>
      </c>
      <c r="AX164" s="2">
        <f t="shared" si="147"/>
        <v>-0.0161402405332</v>
      </c>
      <c r="AY164" s="7">
        <f t="shared" si="148"/>
        <v>1.05671817748786</v>
      </c>
      <c r="AZ164" s="2">
        <f t="shared" si="149"/>
        <v>0.115842678230782</v>
      </c>
      <c r="BA164" s="2">
        <f t="shared" si="150"/>
        <v>0.640590864103067</v>
      </c>
      <c r="BB164" s="2">
        <f t="shared" si="151"/>
        <v>0.0699661753392746</v>
      </c>
      <c r="BC164" s="2">
        <f t="shared" si="152"/>
        <v>0.552865404371719</v>
      </c>
      <c r="BD164" s="2">
        <f t="shared" si="153"/>
        <v>0.0661816359699507</v>
      </c>
      <c r="BE164" s="2">
        <f t="shared" si="154"/>
        <v>-0.0348039471191521</v>
      </c>
      <c r="BF164" s="2">
        <f t="shared" si="155"/>
        <v>0.335195068925718</v>
      </c>
    </row>
    <row r="165" s="2" customFormat="1" spans="1:58">
      <c r="A165" s="12">
        <v>214</v>
      </c>
      <c r="B165" s="6">
        <v>0.0240207205669</v>
      </c>
      <c r="C165" s="6">
        <v>0.0483078363944</v>
      </c>
      <c r="D165" s="6">
        <v>0.0383957416013</v>
      </c>
      <c r="E165" s="6">
        <v>0.143469519676</v>
      </c>
      <c r="F165" s="6">
        <v>0.219947725475</v>
      </c>
      <c r="G165" s="2">
        <f t="shared" si="104"/>
        <v>4.55304443112044</v>
      </c>
      <c r="H165" s="2">
        <f t="shared" si="105"/>
        <v>0.1716398890806</v>
      </c>
      <c r="I165" s="2">
        <f t="shared" si="106"/>
        <v>0.639837205553124</v>
      </c>
      <c r="J165" s="2">
        <f t="shared" si="107"/>
        <v>-0.293355430929596</v>
      </c>
      <c r="K165" s="2">
        <f t="shared" si="108"/>
        <v>3.55304443112044</v>
      </c>
      <c r="L165" s="2">
        <f t="shared" si="109"/>
        <v>1.50776988297757</v>
      </c>
      <c r="M165" s="2">
        <f t="shared" si="110"/>
        <v>0.335122641994835</v>
      </c>
      <c r="N165" s="2">
        <f t="shared" si="111"/>
        <v>0.301563991021298</v>
      </c>
      <c r="O165" s="2">
        <f t="shared" si="112"/>
        <v>0.464914618888742</v>
      </c>
      <c r="P165" s="2">
        <f t="shared" si="113"/>
        <v>0.331393402153361</v>
      </c>
      <c r="Q165" s="2">
        <f t="shared" si="114"/>
        <v>0.702754305840758</v>
      </c>
      <c r="R165" s="2">
        <f t="shared" si="115"/>
        <v>5.72844061091277</v>
      </c>
      <c r="S165" s="2">
        <f t="shared" si="116"/>
        <v>0.503414820279915</v>
      </c>
      <c r="T165" s="2">
        <f t="shared" si="117"/>
        <v>-0.185246380204145</v>
      </c>
      <c r="U165" s="2">
        <f t="shared" si="118"/>
        <v>0.359109015418142</v>
      </c>
      <c r="V165" s="2">
        <f t="shared" si="119"/>
        <v>0.325967066471</v>
      </c>
      <c r="W165" s="2">
        <f t="shared" si="120"/>
        <v>0.1815519838737</v>
      </c>
      <c r="X165" s="2">
        <f t="shared" si="121"/>
        <v>0.357192438891383</v>
      </c>
      <c r="Y165" s="2">
        <f t="shared" si="122"/>
        <v>1.09670155732577</v>
      </c>
      <c r="Z165" s="2">
        <f t="shared" si="123"/>
        <v>1.39341609648485</v>
      </c>
      <c r="AA165" s="2">
        <f t="shared" si="124"/>
        <v>3.11253052254564</v>
      </c>
      <c r="AB165" s="2">
        <f t="shared" si="125"/>
        <v>0.12917173353815</v>
      </c>
      <c r="AC165" s="2">
        <f t="shared" si="126"/>
        <v>1.53306239521616</v>
      </c>
      <c r="AD165" s="2">
        <f t="shared" si="127"/>
        <v>0.076478205799</v>
      </c>
      <c r="AE165" s="2">
        <f t="shared" si="128"/>
        <v>0.21044187313462</v>
      </c>
      <c r="AF165" s="2">
        <f t="shared" si="129"/>
        <v>0.126862984681571</v>
      </c>
      <c r="AG165" s="7">
        <f t="shared" si="130"/>
        <v>0.132864277778512</v>
      </c>
      <c r="AH165" s="2">
        <f t="shared" si="131"/>
        <v>42.72673004418</v>
      </c>
      <c r="AI165" s="2">
        <f t="shared" si="132"/>
        <v>0.533062395216156</v>
      </c>
      <c r="AJ165" s="2">
        <f t="shared" si="133"/>
        <v>0.334930812179046</v>
      </c>
      <c r="AK165" s="2">
        <f t="shared" si="134"/>
        <v>0.151273550414799</v>
      </c>
      <c r="AL165" s="2">
        <f t="shared" si="135"/>
        <v>0.16949139438699</v>
      </c>
      <c r="AM165" s="2">
        <f t="shared" si="136"/>
        <v>5.72844061091277</v>
      </c>
      <c r="AN165" s="2">
        <f t="shared" si="137"/>
        <v>0.1050737780747</v>
      </c>
      <c r="AO165" s="2">
        <f t="shared" si="138"/>
        <v>0.57775617694513</v>
      </c>
      <c r="AP165" s="2">
        <f t="shared" si="139"/>
        <v>3.73659978144926</v>
      </c>
      <c r="AQ165" s="2">
        <f t="shared" si="140"/>
        <v>0.0951616832816</v>
      </c>
      <c r="AR165" s="2">
        <f t="shared" si="141"/>
        <v>0.496209173134428</v>
      </c>
      <c r="AS165" s="2">
        <f t="shared" si="142"/>
        <v>0.727852440450266</v>
      </c>
      <c r="AT165" s="2">
        <f t="shared" si="143"/>
        <v>0.117330322002919</v>
      </c>
      <c r="AU165" s="2">
        <f t="shared" si="144"/>
        <v>0.348459508800121</v>
      </c>
      <c r="AV165" s="2">
        <f t="shared" si="145"/>
        <v>0.0955562484718028</v>
      </c>
      <c r="AW165" s="2">
        <f t="shared" si="146"/>
        <v>0.547388294372347</v>
      </c>
      <c r="AX165" s="2">
        <f t="shared" si="147"/>
        <v>-0.0186834774826</v>
      </c>
      <c r="AY165" s="7">
        <f t="shared" si="148"/>
        <v>1.05774936610711</v>
      </c>
      <c r="AZ165" s="2">
        <f t="shared" si="149"/>
        <v>0.11126005358621</v>
      </c>
      <c r="BA165" s="2">
        <f t="shared" si="150"/>
        <v>0.648773832385119</v>
      </c>
      <c r="BB165" s="2">
        <f t="shared" si="151"/>
        <v>0.0646189294703411</v>
      </c>
      <c r="BC165" s="2">
        <f t="shared" si="152"/>
        <v>0.541754921774032</v>
      </c>
      <c r="BD165" s="2">
        <f t="shared" si="153"/>
        <v>0.0624363058448043</v>
      </c>
      <c r="BE165" s="2">
        <f t="shared" si="154"/>
        <v>-0.038323609568736</v>
      </c>
      <c r="BF165" s="2">
        <f t="shared" si="155"/>
        <v>0.328899087624482</v>
      </c>
    </row>
    <row r="166" s="2" customFormat="1" spans="1:58">
      <c r="A166" s="12">
        <v>204.5</v>
      </c>
      <c r="B166" s="6">
        <v>0.026830724148</v>
      </c>
      <c r="C166" s="6">
        <v>0.0504851061275</v>
      </c>
      <c r="D166" s="6">
        <v>0.0433698930319</v>
      </c>
      <c r="E166" s="6">
        <v>0.142447792988</v>
      </c>
      <c r="F166" s="6">
        <v>0.216469673102</v>
      </c>
      <c r="G166" s="2">
        <f t="shared" si="104"/>
        <v>4.28779277110573</v>
      </c>
      <c r="H166" s="2">
        <f t="shared" si="105"/>
        <v>0.1659845669745</v>
      </c>
      <c r="I166" s="2">
        <f t="shared" si="106"/>
        <v>0.621770351718647</v>
      </c>
      <c r="J166" s="2">
        <f t="shared" si="107"/>
        <v>-0.320537211081721</v>
      </c>
      <c r="K166" s="2">
        <f t="shared" si="108"/>
        <v>3.28779277110573</v>
      </c>
      <c r="L166" s="2">
        <f t="shared" si="109"/>
        <v>1.42977343228514</v>
      </c>
      <c r="M166" s="2">
        <f t="shared" si="110"/>
        <v>0.324630417860982</v>
      </c>
      <c r="N166" s="2">
        <f t="shared" si="111"/>
        <v>0.290606246020163</v>
      </c>
      <c r="O166" s="2">
        <f t="shared" si="112"/>
        <v>0.450966020424667</v>
      </c>
      <c r="P166" s="2">
        <f t="shared" si="113"/>
        <v>0.321254233571485</v>
      </c>
      <c r="Q166" s="2">
        <f t="shared" si="114"/>
        <v>0.666179453135703</v>
      </c>
      <c r="R166" s="2">
        <f t="shared" si="115"/>
        <v>4.99124295609351</v>
      </c>
      <c r="S166" s="2">
        <f t="shared" si="116"/>
        <v>0.478267798174305</v>
      </c>
      <c r="T166" s="2">
        <f t="shared" si="117"/>
        <v>-0.250821512417757</v>
      </c>
      <c r="U166" s="2">
        <f t="shared" si="118"/>
        <v>0.341716438150569</v>
      </c>
      <c r="V166" s="2">
        <f t="shared" si="119"/>
        <v>0.307655250246486</v>
      </c>
      <c r="W166" s="2">
        <f t="shared" si="120"/>
        <v>0.1730997800701</v>
      </c>
      <c r="X166" s="2">
        <f t="shared" si="121"/>
        <v>0.33958138468563</v>
      </c>
      <c r="Y166" s="2">
        <f t="shared" si="122"/>
        <v>1.07989789014319</v>
      </c>
      <c r="Z166" s="2">
        <f t="shared" si="123"/>
        <v>1.23410898482897</v>
      </c>
      <c r="AA166" s="2">
        <f t="shared" si="124"/>
        <v>3.07668900054373</v>
      </c>
      <c r="AB166" s="2">
        <f t="shared" si="125"/>
        <v>0.12991978306695</v>
      </c>
      <c r="AC166" s="2">
        <f t="shared" si="126"/>
        <v>1.5196421689751</v>
      </c>
      <c r="AD166" s="2">
        <f t="shared" si="127"/>
        <v>0.074021880114</v>
      </c>
      <c r="AE166" s="2">
        <f t="shared" si="128"/>
        <v>0.206236494758488</v>
      </c>
      <c r="AF166" s="2">
        <f t="shared" si="129"/>
        <v>0.123555708448231</v>
      </c>
      <c r="AG166" s="7">
        <f t="shared" si="130"/>
        <v>0.129270651202901</v>
      </c>
      <c r="AH166" s="2">
        <f t="shared" si="131"/>
        <v>41.8474891995727</v>
      </c>
      <c r="AI166" s="2">
        <f t="shared" si="132"/>
        <v>0.519642168975097</v>
      </c>
      <c r="AJ166" s="2">
        <f t="shared" si="133"/>
        <v>0.32736704088549</v>
      </c>
      <c r="AK166" s="2">
        <f t="shared" si="134"/>
        <v>0.146126662942732</v>
      </c>
      <c r="AL166" s="2">
        <f t="shared" si="135"/>
        <v>0.165470207775484</v>
      </c>
      <c r="AM166" s="2">
        <f t="shared" si="136"/>
        <v>4.99124295609351</v>
      </c>
      <c r="AN166" s="2">
        <f t="shared" si="137"/>
        <v>0.0990778999561</v>
      </c>
      <c r="AO166" s="2">
        <f t="shared" si="138"/>
        <v>0.53319951441807</v>
      </c>
      <c r="AP166" s="2">
        <f t="shared" si="139"/>
        <v>3.28448568879856</v>
      </c>
      <c r="AQ166" s="2">
        <f t="shared" si="140"/>
        <v>0.0919626868605</v>
      </c>
      <c r="AR166" s="2">
        <f t="shared" si="141"/>
        <v>0.476656326018541</v>
      </c>
      <c r="AS166" s="2">
        <f t="shared" si="142"/>
        <v>0.747107883259516</v>
      </c>
      <c r="AT166" s="2">
        <f t="shared" si="143"/>
        <v>0.123314091198917</v>
      </c>
      <c r="AU166" s="2">
        <f t="shared" si="144"/>
        <v>0.347940639982894</v>
      </c>
      <c r="AV166" s="2">
        <f t="shared" si="145"/>
        <v>0.107808242164423</v>
      </c>
      <c r="AW166" s="2">
        <f t="shared" si="146"/>
        <v>0.538097129312</v>
      </c>
      <c r="AX166" s="2">
        <f t="shared" si="147"/>
        <v>-0.0179408067465</v>
      </c>
      <c r="AY166" s="7">
        <f t="shared" si="148"/>
        <v>1.04286671481146</v>
      </c>
      <c r="AZ166" s="2">
        <f t="shared" si="149"/>
        <v>0.109336908391198</v>
      </c>
      <c r="BA166" s="2">
        <f t="shared" si="150"/>
        <v>0.678402618238132</v>
      </c>
      <c r="BB166" s="2">
        <f t="shared" si="151"/>
        <v>0.0620393409733493</v>
      </c>
      <c r="BC166" s="2">
        <f t="shared" si="152"/>
        <v>0.532333904369331</v>
      </c>
      <c r="BD166" s="2">
        <f t="shared" si="153"/>
        <v>0.0642358052010965</v>
      </c>
      <c r="BE166" s="2">
        <f t="shared" si="154"/>
        <v>-0.0368702841382201</v>
      </c>
      <c r="BF166" s="2">
        <f t="shared" si="155"/>
        <v>0.331692391231627</v>
      </c>
    </row>
    <row r="167" s="2" customFormat="1" spans="1:58">
      <c r="A167" s="12">
        <v>206.5</v>
      </c>
      <c r="B167" s="6">
        <v>0.0244123960875</v>
      </c>
      <c r="C167" s="6">
        <v>0.0487328562854</v>
      </c>
      <c r="D167" s="6">
        <v>0.0414016072149</v>
      </c>
      <c r="E167" s="6">
        <v>0.14388657232</v>
      </c>
      <c r="F167" s="6">
        <v>0.222413460278</v>
      </c>
      <c r="G167" s="2">
        <f t="shared" si="104"/>
        <v>4.56393236988724</v>
      </c>
      <c r="H167" s="2">
        <f t="shared" si="105"/>
        <v>0.1736806039926</v>
      </c>
      <c r="I167" s="2">
        <f t="shared" si="106"/>
        <v>0.640542000326195</v>
      </c>
      <c r="J167" s="2">
        <f t="shared" si="107"/>
        <v>-0.292263573549922</v>
      </c>
      <c r="K167" s="2">
        <f t="shared" si="108"/>
        <v>3.56393236988724</v>
      </c>
      <c r="L167" s="2">
        <f t="shared" si="109"/>
        <v>1.51090978196412</v>
      </c>
      <c r="M167" s="2">
        <f t="shared" si="110"/>
        <v>0.337835894943915</v>
      </c>
      <c r="N167" s="2">
        <f t="shared" si="111"/>
        <v>0.304657551156856</v>
      </c>
      <c r="O167" s="2">
        <f t="shared" si="112"/>
        <v>0.467288001524165</v>
      </c>
      <c r="P167" s="2">
        <f t="shared" si="113"/>
        <v>0.33354118411267</v>
      </c>
      <c r="Q167" s="2">
        <f t="shared" si="114"/>
        <v>0.686131595072641</v>
      </c>
      <c r="R167" s="2">
        <f t="shared" si="115"/>
        <v>5.37209725032017</v>
      </c>
      <c r="S167" s="2">
        <f t="shared" si="116"/>
        <v>0.495437198104604</v>
      </c>
      <c r="T167" s="2">
        <f t="shared" si="117"/>
        <v>-0.216062973354886</v>
      </c>
      <c r="U167" s="2">
        <f t="shared" si="118"/>
        <v>0.355475809721669</v>
      </c>
      <c r="V167" s="2">
        <f t="shared" si="119"/>
        <v>0.322591623124708</v>
      </c>
      <c r="W167" s="2">
        <f t="shared" si="120"/>
        <v>0.1810118530631</v>
      </c>
      <c r="X167" s="2">
        <f t="shared" si="121"/>
        <v>0.352417297346823</v>
      </c>
      <c r="Y167" s="2">
        <f t="shared" si="122"/>
        <v>1.0890966876603</v>
      </c>
      <c r="Z167" s="2">
        <f t="shared" si="123"/>
        <v>1.31777851623492</v>
      </c>
      <c r="AA167" s="2">
        <f t="shared" si="124"/>
        <v>3.09670992373886</v>
      </c>
      <c r="AB167" s="2">
        <f t="shared" si="125"/>
        <v>0.13190753374645</v>
      </c>
      <c r="AC167" s="2">
        <f t="shared" si="126"/>
        <v>1.5457554981806</v>
      </c>
      <c r="AD167" s="2">
        <f t="shared" si="127"/>
        <v>0.078526887958</v>
      </c>
      <c r="AE167" s="2">
        <f t="shared" si="128"/>
        <v>0.214378599425843</v>
      </c>
      <c r="AF167" s="2">
        <f t="shared" si="129"/>
        <v>0.129747771686862</v>
      </c>
      <c r="AG167" s="7">
        <f t="shared" si="130"/>
        <v>0.135969441884645</v>
      </c>
      <c r="AH167" s="2">
        <f t="shared" si="131"/>
        <v>43.5512786416475</v>
      </c>
      <c r="AI167" s="2">
        <f t="shared" si="132"/>
        <v>0.545755498180596</v>
      </c>
      <c r="AJ167" s="2">
        <f t="shared" si="133"/>
        <v>0.342050141542011</v>
      </c>
      <c r="AK167" s="2">
        <f t="shared" si="134"/>
        <v>0.154213155710096</v>
      </c>
      <c r="AL167" s="2">
        <f t="shared" si="135"/>
        <v>0.173078442692892</v>
      </c>
      <c r="AM167" s="2">
        <f t="shared" si="136"/>
        <v>5.37209725032017</v>
      </c>
      <c r="AN167" s="2">
        <f t="shared" si="137"/>
        <v>0.1024849651051</v>
      </c>
      <c r="AO167" s="2">
        <f t="shared" si="138"/>
        <v>0.553111188001048</v>
      </c>
      <c r="AP167" s="2">
        <f t="shared" si="139"/>
        <v>3.47538615042502</v>
      </c>
      <c r="AQ167" s="2">
        <f t="shared" si="140"/>
        <v>0.0951537160346</v>
      </c>
      <c r="AR167" s="2">
        <f t="shared" si="141"/>
        <v>0.493998537549043</v>
      </c>
      <c r="AS167" s="2">
        <f t="shared" si="142"/>
        <v>0.766228371912596</v>
      </c>
      <c r="AT167" s="2">
        <f t="shared" si="143"/>
        <v>0.117419263848006</v>
      </c>
      <c r="AU167" s="2">
        <f t="shared" si="144"/>
        <v>0.34668715702775</v>
      </c>
      <c r="AV167" s="2">
        <f t="shared" si="145"/>
        <v>0.101548787573922</v>
      </c>
      <c r="AW167" s="2">
        <f t="shared" si="146"/>
        <v>0.545529962499215</v>
      </c>
      <c r="AX167" s="2">
        <f t="shared" si="147"/>
        <v>-0.0166268280766</v>
      </c>
      <c r="AY167" s="7">
        <f t="shared" si="148"/>
        <v>1.04221109842992</v>
      </c>
      <c r="AZ167" s="2">
        <f t="shared" si="149"/>
        <v>0.114122228591162</v>
      </c>
      <c r="BA167" s="2">
        <f t="shared" si="150"/>
        <v>0.654650792023107</v>
      </c>
      <c r="BB167" s="2">
        <f t="shared" si="151"/>
        <v>0.0676898191063125</v>
      </c>
      <c r="BC167" s="2">
        <f t="shared" si="152"/>
        <v>0.548593803542729</v>
      </c>
      <c r="BD167" s="2">
        <f t="shared" si="153"/>
        <v>0.067700623609113</v>
      </c>
      <c r="BE167" s="2">
        <f t="shared" si="154"/>
        <v>-0.035361078354456</v>
      </c>
      <c r="BF167" s="2">
        <f t="shared" si="155"/>
        <v>0.334683126659409</v>
      </c>
    </row>
    <row r="168" s="2" customFormat="1" spans="1:58">
      <c r="A168" s="12">
        <v>194.5</v>
      </c>
      <c r="B168" s="6">
        <v>0.0233731327302</v>
      </c>
      <c r="C168" s="6">
        <v>0.0494609691409</v>
      </c>
      <c r="D168" s="6">
        <v>0.0383578656682</v>
      </c>
      <c r="E168" s="6">
        <v>0.157994705294</v>
      </c>
      <c r="F168" s="6">
        <v>0.25289399365</v>
      </c>
      <c r="G168" s="2">
        <f t="shared" si="104"/>
        <v>5.11300118138765</v>
      </c>
      <c r="H168" s="2">
        <f t="shared" si="105"/>
        <v>0.2034330245091</v>
      </c>
      <c r="I168" s="2">
        <f t="shared" si="106"/>
        <v>0.672828461723608</v>
      </c>
      <c r="J168" s="2">
        <f t="shared" si="107"/>
        <v>-0.23949516862161</v>
      </c>
      <c r="K168" s="2">
        <f t="shared" si="108"/>
        <v>4.11300118138765</v>
      </c>
      <c r="L168" s="2">
        <f t="shared" si="109"/>
        <v>1.66353366600753</v>
      </c>
      <c r="M168" s="2">
        <f t="shared" si="110"/>
        <v>0.380317379358161</v>
      </c>
      <c r="N168" s="2">
        <f t="shared" si="111"/>
        <v>0.352914848373591</v>
      </c>
      <c r="O168" s="2">
        <f t="shared" si="112"/>
        <v>0.510392074102769</v>
      </c>
      <c r="P168" s="2">
        <f t="shared" si="113"/>
        <v>0.369966929527814</v>
      </c>
      <c r="Q168" s="2">
        <f t="shared" si="114"/>
        <v>0.736600028868533</v>
      </c>
      <c r="R168" s="2">
        <f t="shared" si="115"/>
        <v>6.5930152589188</v>
      </c>
      <c r="S168" s="2">
        <f t="shared" si="116"/>
        <v>0.551492261627233</v>
      </c>
      <c r="T168" s="2">
        <f t="shared" si="117"/>
        <v>-0.116593690925716</v>
      </c>
      <c r="U168" s="2">
        <f t="shared" si="118"/>
        <v>0.406702604465271</v>
      </c>
      <c r="V168" s="2">
        <f t="shared" si="119"/>
        <v>0.381710602708748</v>
      </c>
      <c r="W168" s="2">
        <f t="shared" si="120"/>
        <v>0.2145361279818</v>
      </c>
      <c r="X168" s="2">
        <f t="shared" si="121"/>
        <v>0.397526499827039</v>
      </c>
      <c r="Y168" s="2">
        <f t="shared" si="122"/>
        <v>1.1120251925512</v>
      </c>
      <c r="Z168" s="2">
        <f t="shared" si="123"/>
        <v>1.5676867524912</v>
      </c>
      <c r="AA168" s="2">
        <f t="shared" si="124"/>
        <v>3.15902619347452</v>
      </c>
      <c r="AB168" s="2">
        <f t="shared" si="125"/>
        <v>0.1456259296591</v>
      </c>
      <c r="AC168" s="2">
        <f t="shared" si="126"/>
        <v>1.60064853552788</v>
      </c>
      <c r="AD168" s="2">
        <f t="shared" si="127"/>
        <v>0.094899288356</v>
      </c>
      <c r="AE168" s="2">
        <f t="shared" si="128"/>
        <v>0.230961057337169</v>
      </c>
      <c r="AF168" s="2">
        <f t="shared" si="129"/>
        <v>0.148047424763981</v>
      </c>
      <c r="AG168" s="7">
        <f t="shared" si="130"/>
        <v>0.156274781648983</v>
      </c>
      <c r="AH168" s="2">
        <f t="shared" si="131"/>
        <v>47.040888182474</v>
      </c>
      <c r="AI168" s="2">
        <f t="shared" si="132"/>
        <v>0.600648535527879</v>
      </c>
      <c r="AJ168" s="2">
        <f t="shared" si="133"/>
        <v>0.372459958725151</v>
      </c>
      <c r="AK168" s="2">
        <f t="shared" si="134"/>
        <v>0.179903441436028</v>
      </c>
      <c r="AL168" s="2">
        <f t="shared" si="135"/>
        <v>0.192827734541927</v>
      </c>
      <c r="AM168" s="2">
        <f t="shared" si="136"/>
        <v>6.5930152589188</v>
      </c>
      <c r="AN168" s="2">
        <f t="shared" si="137"/>
        <v>0.1196368396258</v>
      </c>
      <c r="AO168" s="2">
        <f t="shared" si="138"/>
        <v>0.609296018073689</v>
      </c>
      <c r="AP168" s="2">
        <f t="shared" si="139"/>
        <v>4.11896497737055</v>
      </c>
      <c r="AQ168" s="2">
        <f t="shared" si="140"/>
        <v>0.1085337361531</v>
      </c>
      <c r="AR168" s="2">
        <f t="shared" si="141"/>
        <v>0.523165907361855</v>
      </c>
      <c r="AS168" s="2">
        <f t="shared" si="142"/>
        <v>0.793227977710092</v>
      </c>
      <c r="AT168" s="2">
        <f t="shared" si="143"/>
        <v>0.107442174003649</v>
      </c>
      <c r="AU168" s="2">
        <f t="shared" si="144"/>
        <v>0.343205863384834</v>
      </c>
      <c r="AV168" s="2">
        <f t="shared" si="145"/>
        <v>0.0853826577423278</v>
      </c>
      <c r="AW168" s="2">
        <f t="shared" si="146"/>
        <v>0.562929165342208</v>
      </c>
      <c r="AX168" s="2">
        <f t="shared" si="147"/>
        <v>-0.0136344477971</v>
      </c>
      <c r="AY168" s="7">
        <f t="shared" si="148"/>
        <v>1.05457866784163</v>
      </c>
      <c r="AZ168" s="2">
        <f t="shared" si="149"/>
        <v>0.129650570102536</v>
      </c>
      <c r="BA168" s="2">
        <f t="shared" si="150"/>
        <v>0.621288070005866</v>
      </c>
      <c r="BB168" s="2">
        <f t="shared" si="151"/>
        <v>0.0867754523779697</v>
      </c>
      <c r="BC168" s="2">
        <f t="shared" si="152"/>
        <v>0.628884229943544</v>
      </c>
      <c r="BD168" s="2">
        <f t="shared" si="153"/>
        <v>0.078659701624866</v>
      </c>
      <c r="BE168" s="2">
        <f t="shared" si="154"/>
        <v>-0.032657653166196</v>
      </c>
      <c r="BF168" s="2">
        <f t="shared" si="155"/>
        <v>0.343268857481903</v>
      </c>
    </row>
    <row r="169" s="2" customFormat="1" spans="1:58">
      <c r="A169" s="12">
        <v>196</v>
      </c>
      <c r="B169" s="6">
        <v>0.0259186562967</v>
      </c>
      <c r="C169" s="6">
        <v>0.0519794095471</v>
      </c>
      <c r="D169" s="6">
        <v>0.0458310613226</v>
      </c>
      <c r="E169" s="6">
        <v>0.14877441336</v>
      </c>
      <c r="F169" s="6">
        <v>0.226764417802</v>
      </c>
      <c r="G169" s="2">
        <f t="shared" si="104"/>
        <v>4.36258164103466</v>
      </c>
      <c r="H169" s="2">
        <f t="shared" si="105"/>
        <v>0.1747850082549</v>
      </c>
      <c r="I169" s="2">
        <f t="shared" si="106"/>
        <v>0.627045305064275</v>
      </c>
      <c r="J169" s="2">
        <f t="shared" si="107"/>
        <v>-0.312758213985782</v>
      </c>
      <c r="K169" s="2">
        <f t="shared" si="108"/>
        <v>3.36258164103466</v>
      </c>
      <c r="L169" s="2">
        <f t="shared" si="109"/>
        <v>1.4520644031537</v>
      </c>
      <c r="M169" s="2">
        <f t="shared" si="110"/>
        <v>0.336667210929711</v>
      </c>
      <c r="N169" s="2">
        <f t="shared" si="111"/>
        <v>0.304133961642863</v>
      </c>
      <c r="O169" s="2">
        <f t="shared" si="112"/>
        <v>0.462116152837312</v>
      </c>
      <c r="P169" s="2">
        <f t="shared" si="113"/>
        <v>0.331056065979549</v>
      </c>
      <c r="Q169" s="2">
        <f t="shared" si="114"/>
        <v>0.663743056416198</v>
      </c>
      <c r="R169" s="2">
        <f t="shared" si="115"/>
        <v>4.94783256721526</v>
      </c>
      <c r="S169" s="2">
        <f t="shared" si="116"/>
        <v>0.485170797301956</v>
      </c>
      <c r="T169" s="2">
        <f t="shared" si="117"/>
        <v>-0.254909907117283</v>
      </c>
      <c r="U169" s="2">
        <f t="shared" si="118"/>
        <v>0.351283487998938</v>
      </c>
      <c r="V169" s="2">
        <f t="shared" si="119"/>
        <v>0.318941164389103</v>
      </c>
      <c r="W169" s="2">
        <f t="shared" si="120"/>
        <v>0.1809333564794</v>
      </c>
      <c r="X169" s="2">
        <f t="shared" si="121"/>
        <v>0.346544743196717</v>
      </c>
      <c r="Y169" s="2">
        <f t="shared" si="122"/>
        <v>1.07876923223468</v>
      </c>
      <c r="Z169" s="2">
        <f t="shared" si="123"/>
        <v>1.22437239850149</v>
      </c>
      <c r="AA169" s="2">
        <f t="shared" si="124"/>
        <v>3.07476107415676</v>
      </c>
      <c r="AB169" s="2">
        <f t="shared" si="125"/>
        <v>0.1362977395623</v>
      </c>
      <c r="AC169" s="2">
        <f t="shared" si="126"/>
        <v>1.52421651465889</v>
      </c>
      <c r="AD169" s="2">
        <f t="shared" si="127"/>
        <v>0.077990004442</v>
      </c>
      <c r="AE169" s="2">
        <f t="shared" si="128"/>
        <v>0.20767494056655</v>
      </c>
      <c r="AF169" s="2">
        <f t="shared" si="129"/>
        <v>0.127265743769788</v>
      </c>
      <c r="AG169" s="7">
        <f t="shared" si="130"/>
        <v>0.133614869494411</v>
      </c>
      <c r="AH169" s="2">
        <f t="shared" si="131"/>
        <v>42.1480517159617</v>
      </c>
      <c r="AI169" s="2">
        <f t="shared" si="132"/>
        <v>0.524216514658889</v>
      </c>
      <c r="AJ169" s="2">
        <f t="shared" si="133"/>
        <v>0.329949440862973</v>
      </c>
      <c r="AK169" s="2">
        <f t="shared" si="134"/>
        <v>0.151418186908823</v>
      </c>
      <c r="AL169" s="2">
        <f t="shared" si="135"/>
        <v>0.168929683318059</v>
      </c>
      <c r="AM169" s="2">
        <f t="shared" si="136"/>
        <v>4.94783256721526</v>
      </c>
      <c r="AN169" s="2">
        <f t="shared" si="137"/>
        <v>0.1029433520374</v>
      </c>
      <c r="AO169" s="2">
        <f t="shared" si="138"/>
        <v>0.528984871598807</v>
      </c>
      <c r="AP169" s="2">
        <f t="shared" si="139"/>
        <v>3.24614811585515</v>
      </c>
      <c r="AQ169" s="2">
        <f t="shared" si="140"/>
        <v>0.0967950038129</v>
      </c>
      <c r="AR169" s="2">
        <f t="shared" si="141"/>
        <v>0.482157711425961</v>
      </c>
      <c r="AS169" s="2">
        <f t="shared" si="142"/>
        <v>0.757601174805982</v>
      </c>
      <c r="AT169" s="2">
        <f t="shared" si="143"/>
        <v>0.121584074309636</v>
      </c>
      <c r="AU169" s="2">
        <f t="shared" si="144"/>
        <v>0.347995475264953</v>
      </c>
      <c r="AV169" s="2">
        <f t="shared" si="145"/>
        <v>0.108766815427552</v>
      </c>
      <c r="AW169" s="2">
        <f t="shared" si="146"/>
        <v>0.538159991604734</v>
      </c>
      <c r="AX169" s="2">
        <f t="shared" si="147"/>
        <v>-0.0188049993709</v>
      </c>
      <c r="AY169" s="7">
        <f t="shared" si="148"/>
        <v>1.03517663377361</v>
      </c>
      <c r="AZ169" s="2">
        <f t="shared" si="149"/>
        <v>0.11273064285781</v>
      </c>
      <c r="BA169" s="2">
        <f t="shared" si="150"/>
        <v>0.669963971762312</v>
      </c>
      <c r="BB169" s="2">
        <f t="shared" si="151"/>
        <v>0.0655916135294347</v>
      </c>
      <c r="BC169" s="2">
        <f t="shared" si="152"/>
        <v>0.558548399787721</v>
      </c>
      <c r="BD169" s="2">
        <f t="shared" si="153"/>
        <v>0.0685010473268608</v>
      </c>
      <c r="BE169" s="2">
        <f t="shared" si="154"/>
        <v>-0.038694599551644</v>
      </c>
      <c r="BF169" s="2">
        <f t="shared" si="155"/>
        <v>0.331196069708651</v>
      </c>
    </row>
    <row r="170" s="2" customFormat="1" spans="1:58">
      <c r="A170" s="5">
        <v>236.5</v>
      </c>
      <c r="B170" s="6">
        <v>0.0258472065154</v>
      </c>
      <c r="C170" s="6">
        <v>0.0475653125829</v>
      </c>
      <c r="D170" s="6">
        <v>0.0349370258611</v>
      </c>
      <c r="E170" s="6">
        <v>0.166526212083</v>
      </c>
      <c r="F170" s="6">
        <v>0.297855271052</v>
      </c>
      <c r="G170" s="2">
        <f t="shared" si="104"/>
        <v>6.26202698726888</v>
      </c>
      <c r="H170" s="2">
        <f t="shared" si="105"/>
        <v>0.2502899584691</v>
      </c>
      <c r="I170" s="2">
        <f t="shared" si="106"/>
        <v>0.724594799288654</v>
      </c>
      <c r="J170" s="2">
        <f t="shared" si="107"/>
        <v>-0.141915396438735</v>
      </c>
      <c r="K170" s="2">
        <f t="shared" si="108"/>
        <v>5.26202698726888</v>
      </c>
      <c r="L170" s="2">
        <f t="shared" si="109"/>
        <v>1.95264881345612</v>
      </c>
      <c r="M170" s="2">
        <f t="shared" si="110"/>
        <v>0.444080668215412</v>
      </c>
      <c r="N170" s="2">
        <f t="shared" si="111"/>
        <v>0.429082825487991</v>
      </c>
      <c r="O170" s="2">
        <f t="shared" si="112"/>
        <v>0.574445048787103</v>
      </c>
      <c r="P170" s="2">
        <f t="shared" si="113"/>
        <v>0.425862421705512</v>
      </c>
      <c r="Q170" s="2">
        <f t="shared" si="114"/>
        <v>0.790037052028143</v>
      </c>
      <c r="R170" s="2">
        <f t="shared" si="115"/>
        <v>8.52549018443043</v>
      </c>
      <c r="S170" s="2">
        <f t="shared" si="116"/>
        <v>0.618891907060848</v>
      </c>
      <c r="T170" s="2">
        <f t="shared" si="117"/>
        <v>0.0113979988517361</v>
      </c>
      <c r="U170" s="2">
        <f t="shared" si="118"/>
        <v>0.473560297385294</v>
      </c>
      <c r="V170" s="2">
        <f t="shared" si="119"/>
        <v>0.465084263956039</v>
      </c>
      <c r="W170" s="2">
        <f t="shared" si="120"/>
        <v>0.2629182451909</v>
      </c>
      <c r="X170" s="2">
        <f t="shared" si="121"/>
        <v>0.455757781453077</v>
      </c>
      <c r="Y170" s="2">
        <f t="shared" si="122"/>
        <v>1.13579798028881</v>
      </c>
      <c r="Z170" s="2">
        <f t="shared" si="123"/>
        <v>1.91984420550659</v>
      </c>
      <c r="AA170" s="2">
        <f t="shared" si="124"/>
        <v>3.25535207960731</v>
      </c>
      <c r="AB170" s="2">
        <f t="shared" si="125"/>
        <v>0.16639614845655</v>
      </c>
      <c r="AC170" s="2">
        <f t="shared" si="126"/>
        <v>1.78863896155605</v>
      </c>
      <c r="AD170" s="2">
        <f t="shared" si="127"/>
        <v>0.131329058969</v>
      </c>
      <c r="AE170" s="2">
        <f t="shared" si="128"/>
        <v>0.282804254128327</v>
      </c>
      <c r="AF170" s="2">
        <f t="shared" si="129"/>
        <v>0.192718490464987</v>
      </c>
      <c r="AG170" s="7">
        <f t="shared" si="130"/>
        <v>0.20426936010127</v>
      </c>
      <c r="AH170" s="2">
        <f t="shared" si="131"/>
        <v>58.1454973962317</v>
      </c>
      <c r="AI170" s="2">
        <f t="shared" si="132"/>
        <v>0.788638961556052</v>
      </c>
      <c r="AJ170" s="2">
        <f t="shared" si="133"/>
        <v>0.472261001247613</v>
      </c>
      <c r="AK170" s="2">
        <f t="shared" si="134"/>
        <v>0.236545882068907</v>
      </c>
      <c r="AL170" s="2">
        <f t="shared" si="135"/>
        <v>0.243988190743801</v>
      </c>
      <c r="AM170" s="2">
        <f t="shared" si="136"/>
        <v>8.52549018443043</v>
      </c>
      <c r="AN170" s="2">
        <f t="shared" si="137"/>
        <v>0.1315891862219</v>
      </c>
      <c r="AO170" s="2">
        <f t="shared" si="138"/>
        <v>0.653167235693949</v>
      </c>
      <c r="AP170" s="2">
        <f t="shared" si="139"/>
        <v>4.76646789412076</v>
      </c>
      <c r="AQ170" s="2">
        <f t="shared" si="140"/>
        <v>0.1189608995001</v>
      </c>
      <c r="AR170" s="2">
        <f t="shared" si="141"/>
        <v>0.555654408486016</v>
      </c>
      <c r="AS170" s="2">
        <f t="shared" si="142"/>
        <v>0.998023186704253</v>
      </c>
      <c r="AT170" s="2">
        <f t="shared" si="143"/>
        <v>0.0929106559133736</v>
      </c>
      <c r="AU170" s="2">
        <f t="shared" si="144"/>
        <v>0.325280309352227</v>
      </c>
      <c r="AV170" s="2">
        <f t="shared" si="145"/>
        <v>0.0699694187810949</v>
      </c>
      <c r="AW170" s="2">
        <f t="shared" si="146"/>
        <v>0.596523593028526</v>
      </c>
      <c r="AX170" s="2">
        <f t="shared" si="147"/>
        <v>0.0123681594689</v>
      </c>
      <c r="AY170" s="7">
        <f t="shared" si="148"/>
        <v>1.05045462790054</v>
      </c>
      <c r="AZ170" s="2">
        <f t="shared" si="149"/>
        <v>0.16921469212114</v>
      </c>
      <c r="BA170" s="2">
        <f t="shared" si="150"/>
        <v>0.613294943660468</v>
      </c>
      <c r="BB170" s="2">
        <f t="shared" si="151"/>
        <v>0.14536459737563</v>
      </c>
      <c r="BC170" s="2">
        <f t="shared" si="152"/>
        <v>0.754582167953179</v>
      </c>
      <c r="BD170" s="2">
        <f t="shared" si="153"/>
        <v>0.111827686675565</v>
      </c>
      <c r="BE170" s="2">
        <f t="shared" si="154"/>
        <v>0.00353484169520397</v>
      </c>
      <c r="BF170" s="2">
        <f t="shared" si="155"/>
        <v>0.390292967056844</v>
      </c>
    </row>
    <row r="171" s="2" customFormat="1" spans="1:58">
      <c r="A171" s="5">
        <v>215.5</v>
      </c>
      <c r="B171" s="6">
        <v>0.0275625339465</v>
      </c>
      <c r="C171" s="6">
        <v>0.0484294079897</v>
      </c>
      <c r="D171" s="6">
        <v>0.0371947501127</v>
      </c>
      <c r="E171" s="6">
        <v>0.164299635966</v>
      </c>
      <c r="F171" s="6">
        <v>0.28844768983</v>
      </c>
      <c r="G171" s="2">
        <f t="shared" si="104"/>
        <v>5.95604410219814</v>
      </c>
      <c r="H171" s="2">
        <f t="shared" si="105"/>
        <v>0.2400182818403</v>
      </c>
      <c r="I171" s="2">
        <f t="shared" si="106"/>
        <v>0.712480258805721</v>
      </c>
      <c r="J171" s="2">
        <f t="shared" si="107"/>
        <v>-0.166367586121976</v>
      </c>
      <c r="K171" s="2">
        <f t="shared" si="108"/>
        <v>4.95604410219814</v>
      </c>
      <c r="L171" s="2">
        <f t="shared" si="109"/>
        <v>1.8791177676204</v>
      </c>
      <c r="M171" s="2">
        <f t="shared" si="110"/>
        <v>0.430203459621995</v>
      </c>
      <c r="N171" s="2">
        <f t="shared" si="111"/>
        <v>0.412132401916176</v>
      </c>
      <c r="O171" s="2">
        <f t="shared" si="112"/>
        <v>0.560342201635902</v>
      </c>
      <c r="P171" s="2">
        <f t="shared" si="113"/>
        <v>0.413531483158999</v>
      </c>
      <c r="Q171" s="2">
        <f t="shared" si="114"/>
        <v>0.771560794598856</v>
      </c>
      <c r="R171" s="2">
        <f t="shared" si="115"/>
        <v>7.75506459798773</v>
      </c>
      <c r="S171" s="2">
        <f t="shared" si="116"/>
        <v>0.600139909737823</v>
      </c>
      <c r="T171" s="2">
        <f t="shared" si="117"/>
        <v>-0.0359432143470184</v>
      </c>
      <c r="U171" s="2">
        <f t="shared" si="118"/>
        <v>0.456468068189549</v>
      </c>
      <c r="V171" s="2">
        <f t="shared" si="119"/>
        <v>0.443275442736373</v>
      </c>
      <c r="W171" s="2">
        <f t="shared" si="120"/>
        <v>0.2512529397173</v>
      </c>
      <c r="X171" s="2">
        <f t="shared" si="121"/>
        <v>0.440291855266003</v>
      </c>
      <c r="Y171" s="2">
        <f t="shared" si="122"/>
        <v>1.12763504494976</v>
      </c>
      <c r="Z171" s="2">
        <f t="shared" si="123"/>
        <v>1.78479166150499</v>
      </c>
      <c r="AA171" s="2">
        <f t="shared" si="124"/>
        <v>3.22385042285586</v>
      </c>
      <c r="AB171" s="2">
        <f t="shared" si="125"/>
        <v>0.16282121997135</v>
      </c>
      <c r="AC171" s="2">
        <f t="shared" si="126"/>
        <v>1.75561977440833</v>
      </c>
      <c r="AD171" s="2">
        <f t="shared" si="127"/>
        <v>0.124148053864</v>
      </c>
      <c r="AE171" s="2">
        <f t="shared" si="128"/>
        <v>0.274210463078337</v>
      </c>
      <c r="AF171" s="2">
        <f t="shared" si="129"/>
        <v>0.184506626819531</v>
      </c>
      <c r="AG171" s="7">
        <f t="shared" si="130"/>
        <v>0.19545799369252</v>
      </c>
      <c r="AH171" s="2">
        <f t="shared" si="131"/>
        <v>56.2821942386833</v>
      </c>
      <c r="AI171" s="2">
        <f t="shared" si="132"/>
        <v>0.755619774408332</v>
      </c>
      <c r="AJ171" s="2">
        <f t="shared" si="133"/>
        <v>0.455191001944961</v>
      </c>
      <c r="AK171" s="2">
        <f t="shared" si="134"/>
        <v>0.225548096593634</v>
      </c>
      <c r="AL171" s="2">
        <f t="shared" si="135"/>
        <v>0.235026309246081</v>
      </c>
      <c r="AM171" s="2">
        <f t="shared" si="136"/>
        <v>7.75506459798773</v>
      </c>
      <c r="AN171" s="2">
        <f t="shared" si="137"/>
        <v>0.1271048858533</v>
      </c>
      <c r="AO171" s="2">
        <f t="shared" si="138"/>
        <v>0.63081105298713</v>
      </c>
      <c r="AP171" s="2">
        <f t="shared" si="139"/>
        <v>4.41728027391426</v>
      </c>
      <c r="AQ171" s="2">
        <f t="shared" si="140"/>
        <v>0.1158702279763</v>
      </c>
      <c r="AR171" s="2">
        <f t="shared" si="141"/>
        <v>0.544684570671175</v>
      </c>
      <c r="AS171" s="2">
        <f t="shared" si="142"/>
        <v>0.97673707057404</v>
      </c>
      <c r="AT171" s="2">
        <f t="shared" si="143"/>
        <v>0.0966313971198992</v>
      </c>
      <c r="AU171" s="2">
        <f t="shared" si="144"/>
        <v>0.327827739976959</v>
      </c>
      <c r="AV171" s="2">
        <f t="shared" si="145"/>
        <v>0.0759166275803411</v>
      </c>
      <c r="AW171" s="2">
        <f t="shared" si="146"/>
        <v>0.588738350946923</v>
      </c>
      <c r="AX171" s="2">
        <f t="shared" si="147"/>
        <v>0.00827782588770002</v>
      </c>
      <c r="AY171" s="7">
        <f t="shared" si="148"/>
        <v>1.04680750895665</v>
      </c>
      <c r="AZ171" s="2">
        <f t="shared" si="149"/>
        <v>0.162410299958583</v>
      </c>
      <c r="BA171" s="2">
        <f t="shared" si="150"/>
        <v>0.621000295731074</v>
      </c>
      <c r="BB171" s="2">
        <f t="shared" si="151"/>
        <v>0.133680609954281</v>
      </c>
      <c r="BC171" s="2">
        <f t="shared" si="152"/>
        <v>0.728405674438588</v>
      </c>
      <c r="BD171" s="2">
        <f t="shared" si="153"/>
        <v>0.10778138398445</v>
      </c>
      <c r="BE171" s="2">
        <f t="shared" si="154"/>
        <v>-0.00198435807886796</v>
      </c>
      <c r="BF171" s="2">
        <f t="shared" si="155"/>
        <v>0.384867453784581</v>
      </c>
    </row>
    <row r="172" s="2" customFormat="1" spans="1:58">
      <c r="A172" s="5">
        <v>187</v>
      </c>
      <c r="B172" s="6">
        <v>0.0298088546055</v>
      </c>
      <c r="C172" s="6">
        <v>0.0526129234906</v>
      </c>
      <c r="D172" s="6">
        <v>0.0470196214905</v>
      </c>
      <c r="E172" s="6">
        <v>0.144659943446</v>
      </c>
      <c r="F172" s="6">
        <v>0.21953158027</v>
      </c>
      <c r="G172" s="2">
        <f t="shared" si="104"/>
        <v>4.17257901110974</v>
      </c>
      <c r="H172" s="2">
        <f t="shared" si="105"/>
        <v>0.1669186567794</v>
      </c>
      <c r="I172" s="2">
        <f t="shared" si="106"/>
        <v>0.613345683902677</v>
      </c>
      <c r="J172" s="2">
        <f t="shared" si="107"/>
        <v>-0.332702981408022</v>
      </c>
      <c r="K172" s="2">
        <f t="shared" si="108"/>
        <v>3.17257901110974</v>
      </c>
      <c r="L172" s="2">
        <f t="shared" si="109"/>
        <v>1.39495076734069</v>
      </c>
      <c r="M172" s="2">
        <f t="shared" si="110"/>
        <v>0.324263119078976</v>
      </c>
      <c r="N172" s="2">
        <f t="shared" si="111"/>
        <v>0.29070949426341</v>
      </c>
      <c r="O172" s="2">
        <f t="shared" si="112"/>
        <v>0.448057629286358</v>
      </c>
      <c r="P172" s="2">
        <f t="shared" si="113"/>
        <v>0.319966932195309</v>
      </c>
      <c r="Q172" s="2">
        <f t="shared" si="114"/>
        <v>0.647200078784505</v>
      </c>
      <c r="R172" s="2">
        <f t="shared" si="115"/>
        <v>4.66893550630464</v>
      </c>
      <c r="S172" s="2">
        <f t="shared" si="116"/>
        <v>0.469143848049876</v>
      </c>
      <c r="T172" s="2">
        <f t="shared" si="117"/>
        <v>-0.281827569651354</v>
      </c>
      <c r="U172" s="2">
        <f t="shared" si="118"/>
        <v>0.337574238452631</v>
      </c>
      <c r="V172" s="2">
        <f t="shared" si="119"/>
        <v>0.303957546616737</v>
      </c>
      <c r="W172" s="2">
        <f t="shared" si="120"/>
        <v>0.1725119587795</v>
      </c>
      <c r="X172" s="2">
        <f t="shared" si="121"/>
        <v>0.334140319795983</v>
      </c>
      <c r="Y172" s="2">
        <f t="shared" si="122"/>
        <v>1.07107426389794</v>
      </c>
      <c r="Z172" s="2">
        <f t="shared" si="123"/>
        <v>1.16077196999235</v>
      </c>
      <c r="AA172" s="2">
        <f t="shared" si="124"/>
        <v>3.05799087329598</v>
      </c>
      <c r="AB172" s="2">
        <f t="shared" si="125"/>
        <v>0.13327560088025</v>
      </c>
      <c r="AC172" s="2">
        <f t="shared" si="126"/>
        <v>1.51756993014413</v>
      </c>
      <c r="AD172" s="2">
        <f t="shared" si="127"/>
        <v>0.074871636824</v>
      </c>
      <c r="AE172" s="2">
        <f t="shared" si="128"/>
        <v>0.205583139497737</v>
      </c>
      <c r="AF172" s="2">
        <f t="shared" si="129"/>
        <v>0.124065894417492</v>
      </c>
      <c r="AG172" s="7">
        <f t="shared" si="130"/>
        <v>0.129956672975779</v>
      </c>
      <c r="AH172" s="2">
        <f t="shared" si="131"/>
        <v>41.7110325357053</v>
      </c>
      <c r="AI172" s="2">
        <f t="shared" si="132"/>
        <v>0.51756993014413</v>
      </c>
      <c r="AJ172" s="2">
        <f t="shared" si="133"/>
        <v>0.326195725215176</v>
      </c>
      <c r="AK172" s="2">
        <f t="shared" si="134"/>
        <v>0.1465100504416</v>
      </c>
      <c r="AL172" s="2">
        <f t="shared" si="135"/>
        <v>0.165685812887915</v>
      </c>
      <c r="AM172" s="2">
        <f t="shared" si="136"/>
        <v>4.66893550630464</v>
      </c>
      <c r="AN172" s="2">
        <f t="shared" si="137"/>
        <v>0.0976403219555</v>
      </c>
      <c r="AO172" s="2">
        <f t="shared" si="138"/>
        <v>0.509393486926196</v>
      </c>
      <c r="AP172" s="2">
        <f t="shared" si="139"/>
        <v>3.07658672827104</v>
      </c>
      <c r="AQ172" s="2">
        <f t="shared" si="140"/>
        <v>0.0920470199554</v>
      </c>
      <c r="AR172" s="2">
        <f t="shared" si="141"/>
        <v>0.466597466670276</v>
      </c>
      <c r="AS172" s="2">
        <f t="shared" si="142"/>
        <v>0.766810630326711</v>
      </c>
      <c r="AT172" s="2">
        <f t="shared" si="143"/>
        <v>0.126229275726804</v>
      </c>
      <c r="AU172" s="2">
        <f t="shared" si="144"/>
        <v>0.34706909778795</v>
      </c>
      <c r="AV172" s="2">
        <f t="shared" si="145"/>
        <v>0.114344229329893</v>
      </c>
      <c r="AW172" s="2">
        <f t="shared" si="146"/>
        <v>0.533865832259378</v>
      </c>
      <c r="AX172" s="2">
        <f t="shared" si="147"/>
        <v>-0.0171753831314</v>
      </c>
      <c r="AY172" s="7">
        <f t="shared" si="148"/>
        <v>1.03350914815647</v>
      </c>
      <c r="AZ172" s="2">
        <f t="shared" si="149"/>
        <v>0.110567499948051</v>
      </c>
      <c r="BA172" s="2">
        <f t="shared" si="150"/>
        <v>0.695449242833957</v>
      </c>
      <c r="BB172" s="2">
        <f t="shared" si="151"/>
        <v>0.0629607978030811</v>
      </c>
      <c r="BC172" s="2">
        <f t="shared" si="152"/>
        <v>0.539956422485485</v>
      </c>
      <c r="BD172" s="2">
        <f t="shared" si="153"/>
        <v>0.0675355337315803</v>
      </c>
      <c r="BE172" s="2">
        <f t="shared" si="154"/>
        <v>-0.035778194103864</v>
      </c>
      <c r="BF172" s="2">
        <f t="shared" si="155"/>
        <v>0.335183151839638</v>
      </c>
    </row>
    <row r="173" s="2" customFormat="1" spans="1:58">
      <c r="A173" s="5">
        <v>219</v>
      </c>
      <c r="B173" s="6">
        <v>0.0243530940925</v>
      </c>
      <c r="C173" s="6">
        <v>0.0483487318298</v>
      </c>
      <c r="D173" s="6">
        <v>0.0314977481623</v>
      </c>
      <c r="E173" s="6">
        <v>0.172578699477</v>
      </c>
      <c r="F173" s="6">
        <v>0.303308446717</v>
      </c>
      <c r="G173" s="2">
        <f t="shared" si="104"/>
        <v>6.27334854996247</v>
      </c>
      <c r="H173" s="2">
        <f t="shared" si="105"/>
        <v>0.2549597148872</v>
      </c>
      <c r="I173" s="2">
        <f t="shared" si="106"/>
        <v>0.725023490038805</v>
      </c>
      <c r="J173" s="2">
        <f t="shared" si="107"/>
        <v>-0.141030303790395</v>
      </c>
      <c r="K173" s="2">
        <f t="shared" si="108"/>
        <v>5.27334854996247</v>
      </c>
      <c r="L173" s="2">
        <f t="shared" si="109"/>
        <v>1.95532646120408</v>
      </c>
      <c r="M173" s="2">
        <f t="shared" si="110"/>
        <v>0.449053424270273</v>
      </c>
      <c r="N173" s="2">
        <f t="shared" si="111"/>
        <v>0.435361397819364</v>
      </c>
      <c r="O173" s="2">
        <f t="shared" si="112"/>
        <v>0.578030137501726</v>
      </c>
      <c r="P173" s="2">
        <f t="shared" si="113"/>
        <v>0.429943929259173</v>
      </c>
      <c r="Q173" s="2">
        <f t="shared" si="114"/>
        <v>0.811844890303448</v>
      </c>
      <c r="R173" s="2">
        <f t="shared" si="115"/>
        <v>9.62952796352703</v>
      </c>
      <c r="S173" s="2">
        <f t="shared" si="116"/>
        <v>0.637220013788155</v>
      </c>
      <c r="T173" s="2">
        <f t="shared" si="117"/>
        <v>0.0721596970979369</v>
      </c>
      <c r="U173" s="2">
        <f t="shared" si="118"/>
        <v>0.48839604968552</v>
      </c>
      <c r="V173" s="2">
        <f t="shared" si="119"/>
        <v>0.484430627705581</v>
      </c>
      <c r="W173" s="2">
        <f t="shared" si="120"/>
        <v>0.2718106985547</v>
      </c>
      <c r="X173" s="2">
        <f t="shared" si="121"/>
        <v>0.46975326156552</v>
      </c>
      <c r="Y173" s="2">
        <f t="shared" si="122"/>
        <v>1.14535797474128</v>
      </c>
      <c r="Z173" s="2">
        <f t="shared" si="123"/>
        <v>2.10314807309078</v>
      </c>
      <c r="AA173" s="2">
        <f t="shared" si="124"/>
        <v>3.28847689553182</v>
      </c>
      <c r="AB173" s="2">
        <f t="shared" si="125"/>
        <v>0.16740309743965</v>
      </c>
      <c r="AC173" s="2">
        <f t="shared" si="126"/>
        <v>1.75750801017841</v>
      </c>
      <c r="AD173" s="2">
        <f t="shared" si="127"/>
        <v>0.13072974724</v>
      </c>
      <c r="AE173" s="2">
        <f t="shared" si="128"/>
        <v>0.274707455928441</v>
      </c>
      <c r="AF173" s="2">
        <f t="shared" si="129"/>
        <v>0.189505768456975</v>
      </c>
      <c r="AG173" s="7">
        <f t="shared" si="130"/>
        <v>0.20093985418783</v>
      </c>
      <c r="AH173" s="2">
        <f t="shared" si="131"/>
        <v>56.3896902404052</v>
      </c>
      <c r="AI173" s="2">
        <f t="shared" si="132"/>
        <v>0.75750801017841</v>
      </c>
      <c r="AJ173" s="2">
        <f t="shared" si="133"/>
        <v>0.456172224408202</v>
      </c>
      <c r="AK173" s="2">
        <f t="shared" si="134"/>
        <v>0.234898377686754</v>
      </c>
      <c r="AL173" s="2">
        <f t="shared" si="135"/>
        <v>0.238480220438573</v>
      </c>
      <c r="AM173" s="2">
        <f t="shared" si="136"/>
        <v>9.62952796352703</v>
      </c>
      <c r="AN173" s="2">
        <f t="shared" si="137"/>
        <v>0.1410809513147</v>
      </c>
      <c r="AO173" s="2">
        <f t="shared" si="138"/>
        <v>0.691314225363512</v>
      </c>
      <c r="AP173" s="2">
        <f t="shared" si="139"/>
        <v>5.47908055483031</v>
      </c>
      <c r="AQ173" s="2">
        <f t="shared" si="140"/>
        <v>0.1242299676472</v>
      </c>
      <c r="AR173" s="2">
        <f t="shared" si="141"/>
        <v>0.562311193826732</v>
      </c>
      <c r="AS173" s="2">
        <f t="shared" si="142"/>
        <v>0.926629328919039</v>
      </c>
      <c r="AT173" s="2">
        <f t="shared" si="143"/>
        <v>0.0922270562863021</v>
      </c>
      <c r="AU173" s="2">
        <f t="shared" si="144"/>
        <v>0.329200473892718</v>
      </c>
      <c r="AV173" s="2">
        <f t="shared" si="145"/>
        <v>0.0620786083950331</v>
      </c>
      <c r="AW173" s="2">
        <f t="shared" si="146"/>
        <v>0.597787695476815</v>
      </c>
      <c r="AX173" s="2">
        <f t="shared" si="147"/>
        <v>0.00649977959280003</v>
      </c>
      <c r="AY173" s="7">
        <f t="shared" si="148"/>
        <v>1.06609273027684</v>
      </c>
      <c r="AZ173" s="2">
        <f t="shared" si="149"/>
        <v>0.165383124632565</v>
      </c>
      <c r="BA173" s="2">
        <f t="shared" si="150"/>
        <v>0.599771621895245</v>
      </c>
      <c r="BB173" s="2">
        <f t="shared" si="151"/>
        <v>0.140139829705487</v>
      </c>
      <c r="BC173" s="2">
        <f t="shared" si="152"/>
        <v>0.767404001882125</v>
      </c>
      <c r="BD173" s="2">
        <f t="shared" si="153"/>
        <v>0.105563553742755</v>
      </c>
      <c r="BE173" s="2">
        <f t="shared" si="154"/>
        <v>-0.00554791350403199</v>
      </c>
      <c r="BF173" s="2">
        <f t="shared" si="155"/>
        <v>0.378894559559358</v>
      </c>
    </row>
    <row r="174" s="2" customFormat="1" spans="1:58">
      <c r="A174" s="5">
        <v>214</v>
      </c>
      <c r="B174" s="6">
        <v>0.0259683062656</v>
      </c>
      <c r="C174" s="6">
        <v>0.0491921030091</v>
      </c>
      <c r="D174" s="6">
        <v>0.0368741103824</v>
      </c>
      <c r="E174" s="6">
        <v>0.156808463097</v>
      </c>
      <c r="F174" s="6">
        <v>0.258270841821</v>
      </c>
      <c r="G174" s="2">
        <f t="shared" si="104"/>
        <v>5.25025006093402</v>
      </c>
      <c r="H174" s="2">
        <f t="shared" si="105"/>
        <v>0.2090787388119</v>
      </c>
      <c r="I174" s="2">
        <f t="shared" si="106"/>
        <v>0.680012802607593</v>
      </c>
      <c r="J174" s="2">
        <f t="shared" si="107"/>
        <v>-0.226971277233109</v>
      </c>
      <c r="K174" s="2">
        <f t="shared" si="108"/>
        <v>4.25025006093402</v>
      </c>
      <c r="L174" s="2">
        <f t="shared" si="109"/>
        <v>1.70006601510613</v>
      </c>
      <c r="M174" s="2">
        <f t="shared" si="110"/>
        <v>0.388399381328686</v>
      </c>
      <c r="N174" s="2">
        <f t="shared" si="111"/>
        <v>0.362269336859052</v>
      </c>
      <c r="O174" s="2">
        <f t="shared" si="112"/>
        <v>0.518824731893888</v>
      </c>
      <c r="P174" s="2">
        <f t="shared" si="113"/>
        <v>0.37706261966037</v>
      </c>
      <c r="Q174" s="2">
        <f t="shared" si="114"/>
        <v>0.75012880886414</v>
      </c>
      <c r="R174" s="2">
        <f t="shared" si="115"/>
        <v>7.00412400848788</v>
      </c>
      <c r="S174" s="2">
        <f t="shared" si="116"/>
        <v>0.564260258683492</v>
      </c>
      <c r="T174" s="2">
        <f t="shared" si="117"/>
        <v>-0.0866642556990884</v>
      </c>
      <c r="U174" s="2">
        <f t="shared" si="118"/>
        <v>0.417653531268283</v>
      </c>
      <c r="V174" s="2">
        <f t="shared" si="119"/>
        <v>0.394703507371482</v>
      </c>
      <c r="W174" s="2">
        <f t="shared" si="120"/>
        <v>0.2213967314386</v>
      </c>
      <c r="X174" s="2">
        <f t="shared" si="121"/>
        <v>0.407524313925502</v>
      </c>
      <c r="Y174" s="2">
        <f t="shared" si="122"/>
        <v>1.11809159234123</v>
      </c>
      <c r="Z174" s="2">
        <f t="shared" si="123"/>
        <v>1.64653056065632</v>
      </c>
      <c r="AA174" s="2">
        <f t="shared" si="124"/>
        <v>3.17683877050029</v>
      </c>
      <c r="AB174" s="2">
        <f t="shared" si="125"/>
        <v>0.1475724761017</v>
      </c>
      <c r="AC174" s="2">
        <f t="shared" si="126"/>
        <v>1.64704657338065</v>
      </c>
      <c r="AD174" s="2">
        <f t="shared" si="127"/>
        <v>0.101462378724</v>
      </c>
      <c r="AE174" s="2">
        <f t="shared" si="128"/>
        <v>0.244440947842592</v>
      </c>
      <c r="AF174" s="2">
        <f t="shared" si="129"/>
        <v>0.157485110488765</v>
      </c>
      <c r="AG174" s="7">
        <f t="shared" si="130"/>
        <v>0.166317353335445</v>
      </c>
      <c r="AH174" s="2">
        <f t="shared" si="131"/>
        <v>49.8983728501009</v>
      </c>
      <c r="AI174" s="2">
        <f t="shared" si="132"/>
        <v>0.64704657338065</v>
      </c>
      <c r="AJ174" s="2">
        <f t="shared" si="133"/>
        <v>0.397699230192198</v>
      </c>
      <c r="AK174" s="2">
        <f t="shared" si="134"/>
        <v>0.191403551848328</v>
      </c>
      <c r="AL174" s="2">
        <f t="shared" si="135"/>
        <v>0.2046610933715</v>
      </c>
      <c r="AM174" s="2">
        <f t="shared" si="136"/>
        <v>7.00412400848788</v>
      </c>
      <c r="AN174" s="2">
        <f t="shared" si="137"/>
        <v>0.1199343527146</v>
      </c>
      <c r="AO174" s="2">
        <f t="shared" si="138"/>
        <v>0.619231511436707</v>
      </c>
      <c r="AP174" s="2">
        <f t="shared" si="139"/>
        <v>4.25253549091301</v>
      </c>
      <c r="AQ174" s="2">
        <f t="shared" si="140"/>
        <v>0.1076163600879</v>
      </c>
      <c r="AR174" s="2">
        <f t="shared" si="141"/>
        <v>0.522408079366503</v>
      </c>
      <c r="AS174" s="2">
        <f t="shared" si="142"/>
        <v>0.845982626557742</v>
      </c>
      <c r="AT174" s="2">
        <f t="shared" si="143"/>
        <v>0.105955486745857</v>
      </c>
      <c r="AU174" s="2">
        <f t="shared" si="144"/>
        <v>0.337751712510416</v>
      </c>
      <c r="AV174" s="2">
        <f t="shared" si="145"/>
        <v>0.0815882990017696</v>
      </c>
      <c r="AW174" s="2">
        <f t="shared" si="146"/>
        <v>0.571454563849982</v>
      </c>
      <c r="AX174" s="2">
        <f t="shared" si="147"/>
        <v>-0.00615398136389998</v>
      </c>
      <c r="AY174" s="7">
        <f t="shared" si="148"/>
        <v>1.05891556787026</v>
      </c>
      <c r="AZ174" s="2">
        <f t="shared" si="149"/>
        <v>0.138596110384444</v>
      </c>
      <c r="BA174" s="2">
        <f t="shared" si="150"/>
        <v>0.631037819771976</v>
      </c>
      <c r="BB174" s="2">
        <f t="shared" si="151"/>
        <v>0.0982407791390364</v>
      </c>
      <c r="BC174" s="2">
        <f t="shared" si="152"/>
        <v>0.644979934010952</v>
      </c>
      <c r="BD174" s="2">
        <f t="shared" si="153"/>
        <v>0.0855966994478267</v>
      </c>
      <c r="BE174" s="2">
        <f t="shared" si="154"/>
        <v>-0.021775696374564</v>
      </c>
      <c r="BF174" s="2">
        <f t="shared" si="155"/>
        <v>0.359465214338984</v>
      </c>
    </row>
    <row r="175" s="2" customFormat="1" spans="1:58">
      <c r="A175" s="5">
        <v>216</v>
      </c>
      <c r="B175" s="6">
        <v>0.025012071328</v>
      </c>
      <c r="C175" s="6">
        <v>0.0505037475298</v>
      </c>
      <c r="D175" s="6">
        <v>0.0347826670791</v>
      </c>
      <c r="E175" s="6">
        <v>0.169109788073</v>
      </c>
      <c r="F175" s="6">
        <v>0.282369268956</v>
      </c>
      <c r="G175" s="2">
        <f t="shared" si="104"/>
        <v>5.59105576847315</v>
      </c>
      <c r="H175" s="2">
        <f t="shared" si="105"/>
        <v>0.2318655214262</v>
      </c>
      <c r="I175" s="2">
        <f t="shared" si="106"/>
        <v>0.696558477085484</v>
      </c>
      <c r="J175" s="2">
        <f t="shared" si="107"/>
        <v>-0.196940601473454</v>
      </c>
      <c r="K175" s="2">
        <f t="shared" si="108"/>
        <v>4.59105576847315</v>
      </c>
      <c r="L175" s="2">
        <f t="shared" si="109"/>
        <v>1.78827817028062</v>
      </c>
      <c r="M175" s="2">
        <f t="shared" si="110"/>
        <v>0.417588606252115</v>
      </c>
      <c r="N175" s="2">
        <f t="shared" si="111"/>
        <v>0.397180185317398</v>
      </c>
      <c r="O175" s="2">
        <f t="shared" si="112"/>
        <v>0.545706492053701</v>
      </c>
      <c r="P175" s="2">
        <f t="shared" si="113"/>
        <v>0.401880448010681</v>
      </c>
      <c r="Q175" s="2">
        <f t="shared" si="114"/>
        <v>0.780656126436192</v>
      </c>
      <c r="R175" s="2">
        <f t="shared" si="115"/>
        <v>8.11810285605351</v>
      </c>
      <c r="S175" s="2">
        <f t="shared" si="116"/>
        <v>0.601905675084754</v>
      </c>
      <c r="T175" s="2">
        <f t="shared" si="117"/>
        <v>-0.013082777381994</v>
      </c>
      <c r="U175" s="2">
        <f t="shared" si="118"/>
        <v>0.454480845529561</v>
      </c>
      <c r="V175" s="2">
        <f t="shared" si="119"/>
        <v>0.440421218438168</v>
      </c>
      <c r="W175" s="2">
        <f t="shared" si="120"/>
        <v>0.2475866018769</v>
      </c>
      <c r="X175" s="2">
        <f t="shared" si="121"/>
        <v>0.43963621049536</v>
      </c>
      <c r="Y175" s="2">
        <f t="shared" si="122"/>
        <v>1.13166078240619</v>
      </c>
      <c r="Z175" s="2">
        <f t="shared" si="123"/>
        <v>1.84922846680527</v>
      </c>
      <c r="AA175" s="2">
        <f t="shared" si="124"/>
        <v>3.22951312452375</v>
      </c>
      <c r="AB175" s="2">
        <f t="shared" si="125"/>
        <v>0.15857596801755</v>
      </c>
      <c r="AC175" s="2">
        <f t="shared" si="126"/>
        <v>1.66973935792592</v>
      </c>
      <c r="AD175" s="2">
        <f t="shared" si="127"/>
        <v>0.113259480883</v>
      </c>
      <c r="AE175" s="2">
        <f t="shared" si="128"/>
        <v>0.250863199786751</v>
      </c>
      <c r="AF175" s="2">
        <f t="shared" si="129"/>
        <v>0.168560481075772</v>
      </c>
      <c r="AG175" s="7">
        <f t="shared" si="130"/>
        <v>0.178552770099828</v>
      </c>
      <c r="AH175" s="2">
        <f t="shared" si="131"/>
        <v>51.2667541149741</v>
      </c>
      <c r="AI175" s="2">
        <f t="shared" si="132"/>
        <v>0.669739357925923</v>
      </c>
      <c r="AJ175" s="2">
        <f t="shared" si="133"/>
        <v>0.409893837904916</v>
      </c>
      <c r="AK175" s="2">
        <f t="shared" si="134"/>
        <v>0.207904079807751</v>
      </c>
      <c r="AL175" s="2">
        <f t="shared" si="135"/>
        <v>0.214857722949045</v>
      </c>
      <c r="AM175" s="2">
        <f t="shared" si="136"/>
        <v>8.11810285605351</v>
      </c>
      <c r="AN175" s="2">
        <f t="shared" si="137"/>
        <v>0.1343271209939</v>
      </c>
      <c r="AO175" s="2">
        <f t="shared" si="138"/>
        <v>0.658813593144947</v>
      </c>
      <c r="AP175" s="2">
        <f t="shared" si="139"/>
        <v>4.86189824628525</v>
      </c>
      <c r="AQ175" s="2">
        <f t="shared" si="140"/>
        <v>0.1186060405432</v>
      </c>
      <c r="AR175" s="2">
        <f t="shared" si="141"/>
        <v>0.540067078368588</v>
      </c>
      <c r="AS175" s="2">
        <f t="shared" si="142"/>
        <v>0.843161679078518</v>
      </c>
      <c r="AT175" s="2">
        <f t="shared" si="143"/>
        <v>0.100608520991448</v>
      </c>
      <c r="AU175" s="2">
        <f t="shared" si="144"/>
        <v>0.336883627361764</v>
      </c>
      <c r="AV175" s="2">
        <f t="shared" si="145"/>
        <v>0.0715307525857567</v>
      </c>
      <c r="AW175" s="2">
        <f t="shared" si="146"/>
        <v>0.580694006862088</v>
      </c>
      <c r="AX175" s="2">
        <f t="shared" si="147"/>
        <v>-0.00534655966020001</v>
      </c>
      <c r="AY175" s="7">
        <f t="shared" si="148"/>
        <v>1.06780257950384</v>
      </c>
      <c r="AZ175" s="2">
        <f t="shared" si="149"/>
        <v>0.147607829171635</v>
      </c>
      <c r="BA175" s="2">
        <f t="shared" si="150"/>
        <v>0.611367652024525</v>
      </c>
      <c r="BB175" s="2">
        <f t="shared" si="151"/>
        <v>0.111682815514335</v>
      </c>
      <c r="BC175" s="2">
        <f t="shared" si="152"/>
        <v>0.708352138585766</v>
      </c>
      <c r="BD175" s="2">
        <f t="shared" si="153"/>
        <v>0.0917353864596022</v>
      </c>
      <c r="BE175" s="2">
        <f t="shared" si="154"/>
        <v>-0.0219317707758721</v>
      </c>
      <c r="BF175" s="2">
        <f t="shared" si="155"/>
        <v>0.360146646748747</v>
      </c>
    </row>
    <row r="176" s="2" customFormat="1" spans="1:58">
      <c r="A176" s="5">
        <v>179.5</v>
      </c>
      <c r="B176" s="6">
        <v>0.0265109977277</v>
      </c>
      <c r="C176" s="6">
        <v>0.0493646585004</v>
      </c>
      <c r="D176" s="6">
        <v>0.0397152903527</v>
      </c>
      <c r="E176" s="6">
        <v>0.146586912922</v>
      </c>
      <c r="F176" s="6">
        <v>0.225152617227</v>
      </c>
      <c r="G176" s="2">
        <f t="shared" si="104"/>
        <v>4.5610083016208</v>
      </c>
      <c r="H176" s="2">
        <f t="shared" si="105"/>
        <v>0.1757879587266</v>
      </c>
      <c r="I176" s="2">
        <f t="shared" si="106"/>
        <v>0.640352991485899</v>
      </c>
      <c r="J176" s="2">
        <f t="shared" si="107"/>
        <v>-0.292556622005925</v>
      </c>
      <c r="K176" s="2">
        <f t="shared" si="108"/>
        <v>3.5610083016208</v>
      </c>
      <c r="L176" s="2">
        <f t="shared" si="109"/>
        <v>1.51006699144409</v>
      </c>
      <c r="M176" s="2">
        <f t="shared" si="110"/>
        <v>0.340446812941982</v>
      </c>
      <c r="N176" s="2">
        <f t="shared" si="111"/>
        <v>0.307695552586853</v>
      </c>
      <c r="O176" s="2">
        <f t="shared" si="112"/>
        <v>0.469288664717635</v>
      </c>
      <c r="P176" s="2">
        <f t="shared" si="113"/>
        <v>0.335509083688919</v>
      </c>
      <c r="Q176" s="2">
        <f t="shared" si="114"/>
        <v>0.700112477078791</v>
      </c>
      <c r="R176" s="2">
        <f t="shared" si="115"/>
        <v>5.66916709477596</v>
      </c>
      <c r="S176" s="2">
        <f t="shared" si="116"/>
        <v>0.506292180079138</v>
      </c>
      <c r="T176" s="2">
        <f t="shared" si="117"/>
        <v>-0.19026360700616</v>
      </c>
      <c r="U176" s="2">
        <f t="shared" si="118"/>
        <v>0.363665395756542</v>
      </c>
      <c r="V176" s="2">
        <f t="shared" si="119"/>
        <v>0.331488211263535</v>
      </c>
      <c r="W176" s="2">
        <f t="shared" si="120"/>
        <v>0.1854373268743</v>
      </c>
      <c r="X176" s="2">
        <f t="shared" si="121"/>
        <v>0.360315120777405</v>
      </c>
      <c r="Y176" s="2">
        <f t="shared" si="122"/>
        <v>1.0954964523351</v>
      </c>
      <c r="Z176" s="2">
        <f t="shared" si="123"/>
        <v>1.38100127987701</v>
      </c>
      <c r="AA176" s="2">
        <f t="shared" si="124"/>
        <v>3.11100326358361</v>
      </c>
      <c r="AB176" s="2">
        <f t="shared" si="125"/>
        <v>0.13243395378985</v>
      </c>
      <c r="AC176" s="2">
        <f t="shared" si="126"/>
        <v>1.53596670220353</v>
      </c>
      <c r="AD176" s="2">
        <f t="shared" si="127"/>
        <v>0.078565704305</v>
      </c>
      <c r="AE176" s="2">
        <f t="shared" si="128"/>
        <v>0.211346111815199</v>
      </c>
      <c r="AF176" s="2">
        <f t="shared" si="129"/>
        <v>0.12885866725558</v>
      </c>
      <c r="AG176" s="7">
        <f t="shared" si="130"/>
        <v>0.135187808263504</v>
      </c>
      <c r="AH176" s="2">
        <f t="shared" si="131"/>
        <v>42.9159956237592</v>
      </c>
      <c r="AI176" s="2">
        <f t="shared" si="132"/>
        <v>0.535966702203528</v>
      </c>
      <c r="AJ176" s="2">
        <f t="shared" si="133"/>
        <v>0.336562740916356</v>
      </c>
      <c r="AK176" s="2">
        <f t="shared" si="134"/>
        <v>0.154077005048378</v>
      </c>
      <c r="AL176" s="2">
        <f t="shared" si="135"/>
        <v>0.171392593227482</v>
      </c>
      <c r="AM176" s="2">
        <f t="shared" si="136"/>
        <v>5.66916709477596</v>
      </c>
      <c r="AN176" s="2">
        <f t="shared" si="137"/>
        <v>0.1068716225693</v>
      </c>
      <c r="AO176" s="2">
        <f t="shared" si="138"/>
        <v>0.573646584370874</v>
      </c>
      <c r="AP176" s="2">
        <f t="shared" si="139"/>
        <v>3.69094400721244</v>
      </c>
      <c r="AQ176" s="2">
        <f t="shared" si="140"/>
        <v>0.0972222544216</v>
      </c>
      <c r="AR176" s="2">
        <f t="shared" si="141"/>
        <v>0.496154502440934</v>
      </c>
      <c r="AS176" s="2">
        <f t="shared" si="142"/>
        <v>0.735140932795839</v>
      </c>
      <c r="AT176" s="2">
        <f t="shared" si="143"/>
        <v>0.117226709757332</v>
      </c>
      <c r="AU176" s="2">
        <f t="shared" si="144"/>
        <v>0.348101293867785</v>
      </c>
      <c r="AV176" s="2">
        <f t="shared" si="145"/>
        <v>0.0965240613884992</v>
      </c>
      <c r="AW176" s="2">
        <f t="shared" si="146"/>
        <v>0.547211032677814</v>
      </c>
      <c r="AX176" s="2">
        <f t="shared" si="147"/>
        <v>-0.0186565501166</v>
      </c>
      <c r="AY176" s="7">
        <f t="shared" si="148"/>
        <v>1.05489208827271</v>
      </c>
      <c r="AZ176" s="2">
        <f t="shared" si="149"/>
        <v>0.113243673081502</v>
      </c>
      <c r="BA176" s="2">
        <f t="shared" si="150"/>
        <v>0.649408017602469</v>
      </c>
      <c r="BB176" s="2">
        <f t="shared" si="151"/>
        <v>0.0666734154971712</v>
      </c>
      <c r="BC176" s="2">
        <f t="shared" si="152"/>
        <v>0.555056778301479</v>
      </c>
      <c r="BD176" s="2">
        <f t="shared" si="153"/>
        <v>0.0648017772602663</v>
      </c>
      <c r="BE176" s="2">
        <f t="shared" si="154"/>
        <v>-0.038532102698496</v>
      </c>
      <c r="BF176" s="2">
        <f t="shared" si="155"/>
        <v>0.330046262960033</v>
      </c>
    </row>
    <row r="177" s="2" customFormat="1" spans="1:58">
      <c r="A177" s="5">
        <v>176.5</v>
      </c>
      <c r="B177" s="6">
        <v>0.0288151198332</v>
      </c>
      <c r="C177" s="6">
        <v>0.052836597177</v>
      </c>
      <c r="D177" s="6">
        <v>0.0456700734981</v>
      </c>
      <c r="E177" s="6">
        <v>0.149749468831</v>
      </c>
      <c r="F177" s="6">
        <v>0.226942279448</v>
      </c>
      <c r="G177" s="2">
        <f t="shared" si="104"/>
        <v>4.295172126391</v>
      </c>
      <c r="H177" s="2">
        <f t="shared" si="105"/>
        <v>0.174105682271</v>
      </c>
      <c r="I177" s="2">
        <f t="shared" si="106"/>
        <v>0.622297452800061</v>
      </c>
      <c r="J177" s="2">
        <f t="shared" si="107"/>
        <v>-0.319765566861502</v>
      </c>
      <c r="K177" s="2">
        <f t="shared" si="108"/>
        <v>3.295172126391</v>
      </c>
      <c r="L177" s="2">
        <f t="shared" si="109"/>
        <v>1.43198366638411</v>
      </c>
      <c r="M177" s="2">
        <f t="shared" si="110"/>
        <v>0.334913564902955</v>
      </c>
      <c r="N177" s="2">
        <f t="shared" si="111"/>
        <v>0.302402866546142</v>
      </c>
      <c r="O177" s="2">
        <f t="shared" si="112"/>
        <v>0.459236680452421</v>
      </c>
      <c r="P177" s="2">
        <f t="shared" si="113"/>
        <v>0.329158810599473</v>
      </c>
      <c r="Q177" s="2">
        <f t="shared" si="114"/>
        <v>0.664944944683928</v>
      </c>
      <c r="R177" s="2">
        <f t="shared" si="115"/>
        <v>4.9691682553881</v>
      </c>
      <c r="S177" s="2">
        <f t="shared" si="116"/>
        <v>0.486060459138305</v>
      </c>
      <c r="T177" s="2">
        <f t="shared" si="117"/>
        <v>-0.252897175430338</v>
      </c>
      <c r="U177" s="2">
        <f t="shared" si="118"/>
        <v>0.351933680438862</v>
      </c>
      <c r="V177" s="2">
        <f t="shared" si="119"/>
        <v>0.319633225105656</v>
      </c>
      <c r="W177" s="2">
        <f t="shared" si="120"/>
        <v>0.1812722059499</v>
      </c>
      <c r="X177" s="2">
        <f t="shared" si="121"/>
        <v>0.347183002115729</v>
      </c>
      <c r="Y177" s="2">
        <f t="shared" si="122"/>
        <v>1.07932615306214</v>
      </c>
      <c r="Z177" s="2">
        <f t="shared" si="123"/>
        <v>1.2291631289316</v>
      </c>
      <c r="AA177" s="2">
        <f t="shared" si="124"/>
        <v>3.07599578613126</v>
      </c>
      <c r="AB177" s="2">
        <f t="shared" si="125"/>
        <v>0.13630617647305</v>
      </c>
      <c r="AC177" s="2">
        <f t="shared" si="126"/>
        <v>1.51547969565165</v>
      </c>
      <c r="AD177" s="2">
        <f t="shared" si="127"/>
        <v>0.077192810617</v>
      </c>
      <c r="AE177" s="2">
        <f t="shared" si="128"/>
        <v>0.204923019868825</v>
      </c>
      <c r="AF177" s="2">
        <f t="shared" si="129"/>
        <v>0.125771951816762</v>
      </c>
      <c r="AG177" s="7">
        <f t="shared" si="130"/>
        <v>0.132075174829467</v>
      </c>
      <c r="AH177" s="2">
        <f t="shared" si="131"/>
        <v>41.573201963755</v>
      </c>
      <c r="AI177" s="2">
        <f t="shared" si="132"/>
        <v>0.515479695651649</v>
      </c>
      <c r="AJ177" s="2">
        <f t="shared" si="133"/>
        <v>0.325013316517953</v>
      </c>
      <c r="AK177" s="2">
        <f t="shared" si="134"/>
        <v>0.149867155869274</v>
      </c>
      <c r="AL177" s="2">
        <f t="shared" si="135"/>
        <v>0.166843743364526</v>
      </c>
      <c r="AM177" s="2">
        <f t="shared" si="136"/>
        <v>4.9691682553881</v>
      </c>
      <c r="AN177" s="2">
        <f t="shared" si="137"/>
        <v>0.1040793953329</v>
      </c>
      <c r="AO177" s="2">
        <f t="shared" si="138"/>
        <v>0.532594612045622</v>
      </c>
      <c r="AP177" s="2">
        <f t="shared" si="139"/>
        <v>3.27894083282415</v>
      </c>
      <c r="AQ177" s="2">
        <f t="shared" si="140"/>
        <v>0.096912871654</v>
      </c>
      <c r="AR177" s="2">
        <f t="shared" si="141"/>
        <v>0.478378762980535</v>
      </c>
      <c r="AS177" s="2">
        <f t="shared" si="142"/>
        <v>0.741672358588338</v>
      </c>
      <c r="AT177" s="2">
        <f t="shared" si="143"/>
        <v>0.123010734299519</v>
      </c>
      <c r="AU177" s="2">
        <f t="shared" si="144"/>
        <v>0.348636988490297</v>
      </c>
      <c r="AV177" s="2">
        <f t="shared" si="145"/>
        <v>0.108130212399269</v>
      </c>
      <c r="AW177" s="2">
        <f t="shared" si="146"/>
        <v>0.53731721890282</v>
      </c>
      <c r="AX177" s="2">
        <f t="shared" si="147"/>
        <v>-0.019720061037</v>
      </c>
      <c r="AY177" s="7">
        <f t="shared" si="148"/>
        <v>1.04116191720696</v>
      </c>
      <c r="AZ177" s="2">
        <f t="shared" si="149"/>
        <v>0.111604196051641</v>
      </c>
      <c r="BA177" s="2">
        <f t="shared" si="150"/>
        <v>0.674736110582323</v>
      </c>
      <c r="BB177" s="2">
        <f t="shared" si="151"/>
        <v>0.064213411864491</v>
      </c>
      <c r="BC177" s="2">
        <f t="shared" si="152"/>
        <v>0.558552170641203</v>
      </c>
      <c r="BD177" s="2">
        <f t="shared" si="153"/>
        <v>0.0667498233491655</v>
      </c>
      <c r="BE177" s="2">
        <f t="shared" si="154"/>
        <v>-0.04002643249176</v>
      </c>
      <c r="BF177" s="2">
        <f t="shared" si="155"/>
        <v>0.329300753115352</v>
      </c>
    </row>
    <row r="178" s="2" customFormat="1" spans="1:58">
      <c r="A178" s="5">
        <v>176.5</v>
      </c>
      <c r="B178" s="6">
        <v>0.0319706424871</v>
      </c>
      <c r="C178" s="6">
        <v>0.0563612646419</v>
      </c>
      <c r="D178" s="6">
        <v>0.0526981122209</v>
      </c>
      <c r="E178" s="6">
        <v>0.149109768916</v>
      </c>
      <c r="F178" s="6">
        <v>0.218537613022</v>
      </c>
      <c r="G178" s="2">
        <f t="shared" si="104"/>
        <v>3.87744338972009</v>
      </c>
      <c r="H178" s="2">
        <f t="shared" si="105"/>
        <v>0.1621763483801</v>
      </c>
      <c r="I178" s="2">
        <f t="shared" si="106"/>
        <v>0.589949110590338</v>
      </c>
      <c r="J178" s="2">
        <f t="shared" si="107"/>
        <v>-0.364914537762427</v>
      </c>
      <c r="K178" s="2">
        <f t="shared" si="108"/>
        <v>2.87744338972009</v>
      </c>
      <c r="L178" s="2">
        <f t="shared" si="109"/>
        <v>1.30289875605874</v>
      </c>
      <c r="M178" s="2">
        <f t="shared" si="110"/>
        <v>0.31393066835188</v>
      </c>
      <c r="N178" s="2">
        <f t="shared" si="111"/>
        <v>0.280423923933022</v>
      </c>
      <c r="O178" s="2">
        <f t="shared" si="112"/>
        <v>0.43257081998336</v>
      </c>
      <c r="P178" s="2">
        <f t="shared" si="113"/>
        <v>0.309315037600225</v>
      </c>
      <c r="Q178" s="2">
        <f t="shared" si="114"/>
        <v>0.611422041298526</v>
      </c>
      <c r="R178" s="2">
        <f t="shared" si="115"/>
        <v>4.14697232617999</v>
      </c>
      <c r="S178" s="2">
        <f t="shared" si="116"/>
        <v>0.446098988716481</v>
      </c>
      <c r="T178" s="2">
        <f t="shared" si="117"/>
        <v>-0.335437378007021</v>
      </c>
      <c r="U178" s="2">
        <f t="shared" si="118"/>
        <v>0.322546328002769</v>
      </c>
      <c r="V178" s="2">
        <f t="shared" si="119"/>
        <v>0.28886646001641</v>
      </c>
      <c r="W178" s="2">
        <f t="shared" si="120"/>
        <v>0.1658395008011</v>
      </c>
      <c r="X178" s="2">
        <f t="shared" si="121"/>
        <v>0.31843041014912</v>
      </c>
      <c r="Y178" s="2">
        <f t="shared" si="122"/>
        <v>1.05424003021064</v>
      </c>
      <c r="Z178" s="2">
        <f t="shared" si="123"/>
        <v>1.03641162984795</v>
      </c>
      <c r="AA178" s="2">
        <f t="shared" si="124"/>
        <v>3.02219177098314</v>
      </c>
      <c r="AB178" s="2">
        <f t="shared" si="125"/>
        <v>0.13561786262145</v>
      </c>
      <c r="AC178" s="2">
        <f t="shared" si="126"/>
        <v>1.46561566429032</v>
      </c>
      <c r="AD178" s="2">
        <f t="shared" si="127"/>
        <v>0.069427844106</v>
      </c>
      <c r="AE178" s="2">
        <f t="shared" si="128"/>
        <v>0.188843569999115</v>
      </c>
      <c r="AF178" s="2">
        <f t="shared" si="129"/>
        <v>0.114503283526365</v>
      </c>
      <c r="AG178" s="7">
        <f t="shared" si="130"/>
        <v>0.120027753586239</v>
      </c>
      <c r="AH178" s="2">
        <f t="shared" si="131"/>
        <v>38.2275402851631</v>
      </c>
      <c r="AI178" s="2">
        <f t="shared" si="132"/>
        <v>0.465615664290324</v>
      </c>
      <c r="AJ178" s="2">
        <f t="shared" si="133"/>
        <v>0.29652744273017</v>
      </c>
      <c r="AK178" s="2">
        <f t="shared" si="134"/>
        <v>0.135032341929182</v>
      </c>
      <c r="AL178" s="2">
        <f t="shared" si="135"/>
        <v>0.152632803496831</v>
      </c>
      <c r="AM178" s="2">
        <f t="shared" si="136"/>
        <v>4.14697232617999</v>
      </c>
      <c r="AN178" s="2">
        <f t="shared" si="137"/>
        <v>0.0964116566951</v>
      </c>
      <c r="AO178" s="2">
        <f t="shared" si="138"/>
        <v>0.477739799615147</v>
      </c>
      <c r="AP178" s="2">
        <f t="shared" si="139"/>
        <v>2.82950873630846</v>
      </c>
      <c r="AQ178" s="2">
        <f t="shared" si="140"/>
        <v>0.0927485042741</v>
      </c>
      <c r="AR178" s="2">
        <f t="shared" si="141"/>
        <v>0.4513945477768</v>
      </c>
      <c r="AS178" s="2">
        <f t="shared" si="142"/>
        <v>0.720118774906692</v>
      </c>
      <c r="AT178" s="2">
        <f t="shared" si="143"/>
        <v>0.13292480022876</v>
      </c>
      <c r="AU178" s="2">
        <f t="shared" si="144"/>
        <v>0.351666811794372</v>
      </c>
      <c r="AV178" s="2">
        <f t="shared" si="145"/>
        <v>0.125368566936461</v>
      </c>
      <c r="AW178" s="2">
        <f t="shared" si="146"/>
        <v>0.519899977658349</v>
      </c>
      <c r="AX178" s="2">
        <f t="shared" si="147"/>
        <v>-0.0233206601681</v>
      </c>
      <c r="AY178" s="7">
        <f t="shared" si="148"/>
        <v>1.02258746394027</v>
      </c>
      <c r="AZ178" s="2">
        <f t="shared" si="149"/>
        <v>0.102674339870935</v>
      </c>
      <c r="BA178" s="2">
        <f t="shared" si="150"/>
        <v>0.714525757270449</v>
      </c>
      <c r="BB178" s="2">
        <f t="shared" si="151"/>
        <v>0.0542168965470044</v>
      </c>
      <c r="BC178" s="2">
        <f t="shared" si="152"/>
        <v>0.534787922338677</v>
      </c>
      <c r="BD178" s="2">
        <f t="shared" si="153"/>
        <v>0.0624493502386921</v>
      </c>
      <c r="BE178" s="2">
        <f t="shared" si="154"/>
        <v>-0.044711571154956</v>
      </c>
      <c r="BF178" s="2">
        <f t="shared" si="155"/>
        <v>0.320101457242891</v>
      </c>
    </row>
    <row r="179" s="2" customFormat="1" spans="1:58">
      <c r="A179" s="5">
        <v>166.5</v>
      </c>
      <c r="B179" s="6">
        <v>0.0307103770306</v>
      </c>
      <c r="C179" s="6">
        <v>0.0537456006315</v>
      </c>
      <c r="D179" s="6">
        <v>0.0503680072142</v>
      </c>
      <c r="E179" s="6">
        <v>0.145285748457</v>
      </c>
      <c r="F179" s="6">
        <v>0.215288164629</v>
      </c>
      <c r="G179" s="2">
        <f t="shared" si="104"/>
        <v>4.00568906290761</v>
      </c>
      <c r="H179" s="2">
        <f t="shared" si="105"/>
        <v>0.1615425639975</v>
      </c>
      <c r="I179" s="2">
        <f t="shared" si="106"/>
        <v>0.600454607774164</v>
      </c>
      <c r="J179" s="2">
        <f t="shared" si="107"/>
        <v>-0.350728293656727</v>
      </c>
      <c r="K179" s="2">
        <f t="shared" si="108"/>
        <v>3.00568906290761</v>
      </c>
      <c r="L179" s="2">
        <f t="shared" si="109"/>
        <v>1.34342094942698</v>
      </c>
      <c r="M179" s="2">
        <f t="shared" si="110"/>
        <v>0.315088695636361</v>
      </c>
      <c r="N179" s="2">
        <f t="shared" si="111"/>
        <v>0.28106238181167</v>
      </c>
      <c r="O179" s="2">
        <f t="shared" si="112"/>
        <v>0.436770691284219</v>
      </c>
      <c r="P179" s="2">
        <f t="shared" si="113"/>
        <v>0.311446587561899</v>
      </c>
      <c r="Q179" s="2">
        <f t="shared" si="114"/>
        <v>0.62080303375049</v>
      </c>
      <c r="R179" s="2">
        <f t="shared" si="115"/>
        <v>4.27430379989909</v>
      </c>
      <c r="S179" s="2">
        <f t="shared" si="116"/>
        <v>0.449441110586411</v>
      </c>
      <c r="T179" s="2">
        <f t="shared" si="117"/>
        <v>-0.321950060153227</v>
      </c>
      <c r="U179" s="2">
        <f t="shared" si="118"/>
        <v>0.323095725234827</v>
      </c>
      <c r="V179" s="2">
        <f t="shared" si="119"/>
        <v>0.288911753896976</v>
      </c>
      <c r="W179" s="2">
        <f t="shared" si="120"/>
        <v>0.1649201574148</v>
      </c>
      <c r="X179" s="2">
        <f t="shared" si="121"/>
        <v>0.319973333341571</v>
      </c>
      <c r="Y179" s="2">
        <f t="shared" si="122"/>
        <v>1.05867985422907</v>
      </c>
      <c r="Z179" s="2">
        <f t="shared" si="123"/>
        <v>1.06743894707899</v>
      </c>
      <c r="AA179" s="2">
        <f t="shared" si="124"/>
        <v>3.03218035361527</v>
      </c>
      <c r="AB179" s="2">
        <f t="shared" si="125"/>
        <v>0.1328280859216</v>
      </c>
      <c r="AC179" s="2">
        <f t="shared" si="126"/>
        <v>1.48182576003123</v>
      </c>
      <c r="AD179" s="2">
        <f t="shared" si="127"/>
        <v>0.070002416172</v>
      </c>
      <c r="AE179" s="2">
        <f t="shared" si="128"/>
        <v>0.194141654821556</v>
      </c>
      <c r="AF179" s="2">
        <f t="shared" si="129"/>
        <v>0.116577806280352</v>
      </c>
      <c r="AG179" s="7">
        <f t="shared" si="130"/>
        <v>0.122015811380407</v>
      </c>
      <c r="AH179" s="2">
        <f t="shared" si="131"/>
        <v>39.3274949132773</v>
      </c>
      <c r="AI179" s="2">
        <f t="shared" si="132"/>
        <v>0.481825760031229</v>
      </c>
      <c r="AJ179" s="2">
        <f t="shared" si="133"/>
        <v>0.305847102958516</v>
      </c>
      <c r="AK179" s="2">
        <f t="shared" si="134"/>
        <v>0.137142007234422</v>
      </c>
      <c r="AL179" s="2">
        <f t="shared" si="135"/>
        <v>0.155987076413691</v>
      </c>
      <c r="AM179" s="2">
        <f t="shared" si="136"/>
        <v>4.27430379989909</v>
      </c>
      <c r="AN179" s="2">
        <f t="shared" si="137"/>
        <v>0.0949177412428</v>
      </c>
      <c r="AO179" s="2">
        <f t="shared" si="138"/>
        <v>0.485131199844235</v>
      </c>
      <c r="AP179" s="2">
        <f t="shared" si="139"/>
        <v>2.88448474523011</v>
      </c>
      <c r="AQ179" s="2">
        <f t="shared" si="140"/>
        <v>0.0915401478255</v>
      </c>
      <c r="AR179" s="2">
        <f t="shared" si="141"/>
        <v>0.459928288908881</v>
      </c>
      <c r="AS179" s="2">
        <f t="shared" si="142"/>
        <v>0.737506131682311</v>
      </c>
      <c r="AT179" s="2">
        <f t="shared" si="143"/>
        <v>0.129720176945723</v>
      </c>
      <c r="AU179" s="2">
        <f t="shared" si="144"/>
        <v>0.350661129024354</v>
      </c>
      <c r="AV179" s="2">
        <f t="shared" si="145"/>
        <v>0.122567216256266</v>
      </c>
      <c r="AW179" s="2">
        <f t="shared" si="146"/>
        <v>0.523889518187213</v>
      </c>
      <c r="AX179" s="2">
        <f t="shared" si="147"/>
        <v>-0.0215377316535</v>
      </c>
      <c r="AY179" s="7">
        <f t="shared" si="148"/>
        <v>1.02090838063801</v>
      </c>
      <c r="AZ179" s="2">
        <f t="shared" si="149"/>
        <v>0.103928341069659</v>
      </c>
      <c r="BA179" s="2">
        <f t="shared" si="150"/>
        <v>0.701326519525896</v>
      </c>
      <c r="BB179" s="2">
        <f t="shared" si="151"/>
        <v>0.0558557970134985</v>
      </c>
      <c r="BC179" s="2">
        <f t="shared" si="152"/>
        <v>0.527491343126928</v>
      </c>
      <c r="BD179" s="2">
        <f t="shared" si="153"/>
        <v>0.0633774859526064</v>
      </c>
      <c r="BE179" s="2">
        <f t="shared" si="154"/>
        <v>-0.0419991513201</v>
      </c>
      <c r="BF179" s="2">
        <f t="shared" si="155"/>
        <v>0.32332444835626</v>
      </c>
    </row>
    <row r="180" s="2" customFormat="1" spans="1:58">
      <c r="A180" s="5">
        <v>163.5</v>
      </c>
      <c r="B180" s="6">
        <v>0.0338190403446</v>
      </c>
      <c r="C180" s="6">
        <v>0.0574644348474</v>
      </c>
      <c r="D180" s="6">
        <v>0.058646949461</v>
      </c>
      <c r="E180" s="6">
        <v>0.138432902908</v>
      </c>
      <c r="F180" s="6">
        <v>0.193320316049</v>
      </c>
      <c r="G180" s="2">
        <f t="shared" si="104"/>
        <v>3.36417327625988</v>
      </c>
      <c r="H180" s="2">
        <f t="shared" si="105"/>
        <v>0.1358558812016</v>
      </c>
      <c r="I180" s="2">
        <f t="shared" si="106"/>
        <v>0.541723054196874</v>
      </c>
      <c r="J180" s="2">
        <f t="shared" si="107"/>
        <v>-0.424805065123726</v>
      </c>
      <c r="K180" s="2">
        <f t="shared" si="108"/>
        <v>2.36417327625988</v>
      </c>
      <c r="L180" s="2">
        <f t="shared" si="109"/>
        <v>1.13169217010021</v>
      </c>
      <c r="M180" s="2">
        <f t="shared" si="110"/>
        <v>0.271427758167827</v>
      </c>
      <c r="N180" s="2">
        <f t="shared" si="111"/>
        <v>0.236175592528007</v>
      </c>
      <c r="O180" s="2">
        <f t="shared" si="112"/>
        <v>0.383638442882708</v>
      </c>
      <c r="P180" s="2">
        <f t="shared" si="113"/>
        <v>0.271286311661938</v>
      </c>
      <c r="Q180" s="2">
        <f t="shared" si="114"/>
        <v>0.534487550656278</v>
      </c>
      <c r="R180" s="2">
        <f t="shared" si="115"/>
        <v>3.29634052283584</v>
      </c>
      <c r="S180" s="2">
        <f t="shared" si="116"/>
        <v>0.379207568952558</v>
      </c>
      <c r="T180" s="2">
        <f t="shared" si="117"/>
        <v>-0.433115569085845</v>
      </c>
      <c r="U180" s="2">
        <f t="shared" si="118"/>
        <v>0.268642079446095</v>
      </c>
      <c r="V180" s="2">
        <f t="shared" si="119"/>
        <v>0.233596129747817</v>
      </c>
      <c r="W180" s="2">
        <f t="shared" si="120"/>
        <v>0.134673366588</v>
      </c>
      <c r="X180" s="2">
        <f t="shared" si="121"/>
        <v>0.268293193812767</v>
      </c>
      <c r="Y180" s="2">
        <f t="shared" si="122"/>
        <v>1.01709761117421</v>
      </c>
      <c r="Z180" s="2">
        <f t="shared" si="123"/>
        <v>0.815582695124582</v>
      </c>
      <c r="AA180" s="2">
        <f t="shared" si="124"/>
        <v>2.95723877093928</v>
      </c>
      <c r="AB180" s="2">
        <f t="shared" si="125"/>
        <v>0.125983632755</v>
      </c>
      <c r="AC180" s="2">
        <f t="shared" si="126"/>
        <v>1.39649109415467</v>
      </c>
      <c r="AD180" s="2">
        <f t="shared" si="127"/>
        <v>0.054887413141</v>
      </c>
      <c r="AE180" s="2">
        <f t="shared" si="128"/>
        <v>0.165446512662517</v>
      </c>
      <c r="AF180" s="2">
        <f t="shared" si="129"/>
        <v>0.0952939194977583</v>
      </c>
      <c r="AG180" s="7">
        <f t="shared" si="130"/>
        <v>0.0989850328619604</v>
      </c>
      <c r="AH180" s="2">
        <f t="shared" si="131"/>
        <v>33.3962729121513</v>
      </c>
      <c r="AI180" s="2">
        <f t="shared" si="132"/>
        <v>0.396491094154669</v>
      </c>
      <c r="AJ180" s="2">
        <f t="shared" si="133"/>
        <v>0.25612119949281</v>
      </c>
      <c r="AK180" s="2">
        <f t="shared" si="134"/>
        <v>0.10948763794347</v>
      </c>
      <c r="AL180" s="2">
        <f t="shared" si="135"/>
        <v>0.129474290739981</v>
      </c>
      <c r="AM180" s="2">
        <f t="shared" si="136"/>
        <v>3.29634052283584</v>
      </c>
      <c r="AN180" s="2">
        <f t="shared" si="137"/>
        <v>0.079785953447</v>
      </c>
      <c r="AO180" s="2">
        <f t="shared" si="138"/>
        <v>0.40484074088717</v>
      </c>
      <c r="AP180" s="2">
        <f t="shared" si="139"/>
        <v>2.36044507310747</v>
      </c>
      <c r="AQ180" s="2">
        <f t="shared" si="140"/>
        <v>0.0809684680606</v>
      </c>
      <c r="AR180" s="2">
        <f t="shared" si="141"/>
        <v>0.41332092099025</v>
      </c>
      <c r="AS180" s="2">
        <f t="shared" si="142"/>
        <v>0.687933286119849</v>
      </c>
      <c r="AT180" s="2">
        <f t="shared" si="143"/>
        <v>0.147640874676971</v>
      </c>
      <c r="AU180" s="2">
        <f t="shared" si="144"/>
        <v>0.355669640251131</v>
      </c>
      <c r="AV180" s="2">
        <f t="shared" si="145"/>
        <v>0.150222654100412</v>
      </c>
      <c r="AW180" s="2">
        <f t="shared" si="146"/>
        <v>0.495185022159142</v>
      </c>
      <c r="AX180" s="2">
        <f t="shared" si="147"/>
        <v>-0.0260810549196</v>
      </c>
      <c r="AY180" s="7">
        <f t="shared" si="148"/>
        <v>0.991295815807597</v>
      </c>
      <c r="AZ180" s="2">
        <f t="shared" si="149"/>
        <v>0.0861419821419439</v>
      </c>
      <c r="BA180" s="2">
        <f t="shared" si="150"/>
        <v>0.783197474885284</v>
      </c>
      <c r="BB180" s="2">
        <f t="shared" si="151"/>
        <v>0.0387054779952806</v>
      </c>
      <c r="BC180" s="2">
        <f t="shared" si="152"/>
        <v>0.468332652860247</v>
      </c>
      <c r="BD180" s="2">
        <f t="shared" si="153"/>
        <v>0.0518201451870186</v>
      </c>
      <c r="BE180" s="2">
        <f t="shared" si="154"/>
        <v>-0.047272935251496</v>
      </c>
      <c r="BF180" s="2">
        <f t="shared" si="155"/>
        <v>0.305407922702861</v>
      </c>
    </row>
    <row r="181" s="2" customFormat="1" spans="1:58">
      <c r="A181" s="5">
        <v>168.5</v>
      </c>
      <c r="B181" s="6">
        <v>0.0319416522731</v>
      </c>
      <c r="C181" s="6">
        <v>0.0551708515418</v>
      </c>
      <c r="D181" s="6">
        <v>0.0532387408406</v>
      </c>
      <c r="E181" s="6">
        <v>0.142779262086</v>
      </c>
      <c r="F181" s="6">
        <v>0.208395483855</v>
      </c>
      <c r="G181" s="2">
        <f t="shared" si="104"/>
        <v>3.77727510145661</v>
      </c>
      <c r="H181" s="2">
        <f t="shared" si="105"/>
        <v>0.1532246323132</v>
      </c>
      <c r="I181" s="2">
        <f t="shared" si="106"/>
        <v>0.581351302253832</v>
      </c>
      <c r="J181" s="2">
        <f t="shared" si="107"/>
        <v>-0.376203908862961</v>
      </c>
      <c r="K181" s="2">
        <f t="shared" si="108"/>
        <v>2.77727510145661</v>
      </c>
      <c r="L181" s="2">
        <f t="shared" si="109"/>
        <v>1.27065829275574</v>
      </c>
      <c r="M181" s="2">
        <f t="shared" si="110"/>
        <v>0.301004559545388</v>
      </c>
      <c r="N181" s="2">
        <f t="shared" si="111"/>
        <v>0.266383157194578</v>
      </c>
      <c r="O181" s="2">
        <f t="shared" si="112"/>
        <v>0.41962865938532</v>
      </c>
      <c r="P181" s="2">
        <f t="shared" si="113"/>
        <v>0.298458271007261</v>
      </c>
      <c r="Q181" s="2">
        <f t="shared" si="114"/>
        <v>0.593029230770241</v>
      </c>
      <c r="R181" s="2">
        <f t="shared" si="115"/>
        <v>3.91435786355182</v>
      </c>
      <c r="S181" s="2">
        <f t="shared" si="116"/>
        <v>0.426867202316516</v>
      </c>
      <c r="T181" s="2">
        <f t="shared" si="117"/>
        <v>-0.360800692860819</v>
      </c>
      <c r="U181" s="2">
        <f t="shared" si="118"/>
        <v>0.30557334081805</v>
      </c>
      <c r="V181" s="2">
        <f t="shared" si="119"/>
        <v>0.270776156679703</v>
      </c>
      <c r="W181" s="2">
        <f t="shared" si="120"/>
        <v>0.1551567430144</v>
      </c>
      <c r="X181" s="2">
        <f t="shared" si="121"/>
        <v>0.303335596260389</v>
      </c>
      <c r="Y181" s="2">
        <f t="shared" si="122"/>
        <v>1.04548038277638</v>
      </c>
      <c r="Z181" s="2">
        <f t="shared" si="123"/>
        <v>0.978473619624942</v>
      </c>
      <c r="AA181" s="2">
        <f t="shared" si="124"/>
        <v>3.00646881860674</v>
      </c>
      <c r="AB181" s="2">
        <f t="shared" si="125"/>
        <v>0.1308171123478</v>
      </c>
      <c r="AC181" s="2">
        <f t="shared" si="126"/>
        <v>1.45956409082348</v>
      </c>
      <c r="AD181" s="2">
        <f t="shared" si="127"/>
        <v>0.065616221769</v>
      </c>
      <c r="AE181" s="2">
        <f t="shared" si="128"/>
        <v>0.186847780278665</v>
      </c>
      <c r="AF181" s="2">
        <f t="shared" si="129"/>
        <v>0.110725992376724</v>
      </c>
      <c r="AG181" s="7">
        <f t="shared" si="130"/>
        <v>0.115633520758054</v>
      </c>
      <c r="AH181" s="2">
        <f t="shared" si="131"/>
        <v>37.8137823210844</v>
      </c>
      <c r="AI181" s="2">
        <f t="shared" si="132"/>
        <v>0.45956409082348</v>
      </c>
      <c r="AJ181" s="2">
        <f t="shared" si="133"/>
        <v>0.293033326203949</v>
      </c>
      <c r="AK181" s="2">
        <f t="shared" si="134"/>
        <v>0.129227822834297</v>
      </c>
      <c r="AL181" s="2">
        <f t="shared" si="135"/>
        <v>0.148901755918954</v>
      </c>
      <c r="AM181" s="2">
        <f t="shared" si="136"/>
        <v>3.91435786355182</v>
      </c>
      <c r="AN181" s="2">
        <f t="shared" si="137"/>
        <v>0.0895405212454</v>
      </c>
      <c r="AO181" s="2">
        <f t="shared" si="138"/>
        <v>0.456797436503467</v>
      </c>
      <c r="AP181" s="2">
        <f t="shared" si="139"/>
        <v>2.68186774953017</v>
      </c>
      <c r="AQ181" s="2">
        <f t="shared" si="140"/>
        <v>0.0876084105442</v>
      </c>
      <c r="AR181" s="2">
        <f t="shared" si="141"/>
        <v>0.442578228113208</v>
      </c>
      <c r="AS181" s="2">
        <f t="shared" si="142"/>
        <v>0.732810361793275</v>
      </c>
      <c r="AT181" s="2">
        <f t="shared" si="143"/>
        <v>0.135773223294576</v>
      </c>
      <c r="AU181" s="2">
        <f t="shared" si="144"/>
        <v>0.351373960910315</v>
      </c>
      <c r="AV181" s="2">
        <f t="shared" si="145"/>
        <v>0.131644325871237</v>
      </c>
      <c r="AW181" s="2">
        <f t="shared" si="146"/>
        <v>0.515303002166053</v>
      </c>
      <c r="AX181" s="2">
        <f t="shared" si="147"/>
        <v>-0.0219921887752</v>
      </c>
      <c r="AY181" s="7">
        <f t="shared" si="148"/>
        <v>1.01260966120154</v>
      </c>
      <c r="AZ181" s="2">
        <f t="shared" si="149"/>
        <v>0.0993408712122708</v>
      </c>
      <c r="BA181" s="2">
        <f t="shared" si="150"/>
        <v>0.730622022480473</v>
      </c>
      <c r="BB181" s="2">
        <f t="shared" si="151"/>
        <v>0.0510428468387468</v>
      </c>
      <c r="BC181" s="2">
        <f t="shared" si="152"/>
        <v>0.50908825258743</v>
      </c>
      <c r="BD181" s="2">
        <f t="shared" si="153"/>
        <v>0.0609719389752329</v>
      </c>
      <c r="BE181" s="2">
        <f t="shared" si="154"/>
        <v>-0.042181761101592</v>
      </c>
      <c r="BF181" s="2">
        <f t="shared" si="155"/>
        <v>0.32140253157476</v>
      </c>
    </row>
    <row r="182" s="2" customFormat="1" spans="1:58">
      <c r="A182" s="5">
        <v>214</v>
      </c>
      <c r="B182" s="6">
        <v>0.0249496946411</v>
      </c>
      <c r="C182" s="6">
        <v>0.0510417207243</v>
      </c>
      <c r="D182" s="6">
        <v>0.0333944689453</v>
      </c>
      <c r="E182" s="6">
        <v>0.181302578796</v>
      </c>
      <c r="F182" s="6">
        <v>0.307583627139</v>
      </c>
      <c r="G182" s="2">
        <f t="shared" si="104"/>
        <v>6.02612182297697</v>
      </c>
      <c r="H182" s="2">
        <f t="shared" si="105"/>
        <v>0.2565419064147</v>
      </c>
      <c r="I182" s="2">
        <f t="shared" si="106"/>
        <v>0.715347947218968</v>
      </c>
      <c r="J182" s="2">
        <f t="shared" si="107"/>
        <v>-0.160675421542192</v>
      </c>
      <c r="K182" s="2">
        <f t="shared" si="108"/>
        <v>5.02612182297697</v>
      </c>
      <c r="L182" s="2">
        <f t="shared" si="109"/>
        <v>1.89616083931164</v>
      </c>
      <c r="M182" s="2">
        <f t="shared" si="110"/>
        <v>0.448173188200956</v>
      </c>
      <c r="N182" s="2">
        <f t="shared" si="111"/>
        <v>0.434612445955274</v>
      </c>
      <c r="O182" s="2">
        <f t="shared" si="112"/>
        <v>0.573802674063457</v>
      </c>
      <c r="P182" s="2">
        <f t="shared" si="113"/>
        <v>0.428388522406234</v>
      </c>
      <c r="Q182" s="2">
        <f t="shared" si="114"/>
        <v>0.804125430174002</v>
      </c>
      <c r="R182" s="2">
        <f t="shared" si="115"/>
        <v>9.21061591495348</v>
      </c>
      <c r="S182" s="2">
        <f t="shared" si="116"/>
        <v>0.634876905778275</v>
      </c>
      <c r="T182" s="2">
        <f t="shared" si="117"/>
        <v>0.0500048517699523</v>
      </c>
      <c r="U182" s="2">
        <f t="shared" si="118"/>
        <v>0.489054042198648</v>
      </c>
      <c r="V182" s="2">
        <f t="shared" si="119"/>
        <v>0.485383381273818</v>
      </c>
      <c r="W182" s="2">
        <f t="shared" si="120"/>
        <v>0.2741891581937</v>
      </c>
      <c r="X182" s="2">
        <f t="shared" si="121"/>
        <v>0.469555614151888</v>
      </c>
      <c r="Y182" s="2">
        <f t="shared" si="122"/>
        <v>1.14198311291105</v>
      </c>
      <c r="Z182" s="2">
        <f t="shared" si="123"/>
        <v>2.03489965484091</v>
      </c>
      <c r="AA182" s="2">
        <f t="shared" si="124"/>
        <v>3.28340775310232</v>
      </c>
      <c r="AB182" s="2">
        <f t="shared" si="125"/>
        <v>0.17048904804215</v>
      </c>
      <c r="AC182" s="2">
        <f t="shared" si="126"/>
        <v>1.69652097163544</v>
      </c>
      <c r="AD182" s="2">
        <f t="shared" si="127"/>
        <v>0.126281048343</v>
      </c>
      <c r="AE182" s="2">
        <f t="shared" si="128"/>
        <v>0.258303561871798</v>
      </c>
      <c r="AF182" s="2">
        <f t="shared" si="129"/>
        <v>0.18060687856198</v>
      </c>
      <c r="AG182" s="7">
        <f t="shared" si="130"/>
        <v>0.191550424485293</v>
      </c>
      <c r="AH182" s="2">
        <f t="shared" si="131"/>
        <v>52.8579666872453</v>
      </c>
      <c r="AI182" s="2">
        <f t="shared" si="132"/>
        <v>0.696520971635435</v>
      </c>
      <c r="AJ182" s="2">
        <f t="shared" si="133"/>
        <v>0.424162525327072</v>
      </c>
      <c r="AK182" s="2">
        <f t="shared" si="134"/>
        <v>0.225239603024705</v>
      </c>
      <c r="AL182" s="2">
        <f t="shared" si="135"/>
        <v>0.225749930786098</v>
      </c>
      <c r="AM182" s="2">
        <f t="shared" si="136"/>
        <v>9.21061591495348</v>
      </c>
      <c r="AN182" s="2">
        <f t="shared" si="137"/>
        <v>0.1479081098507</v>
      </c>
      <c r="AO182" s="2">
        <f t="shared" si="138"/>
        <v>0.688915434128011</v>
      </c>
      <c r="AP182" s="2">
        <f t="shared" si="139"/>
        <v>5.42911998669519</v>
      </c>
      <c r="AQ182" s="2">
        <f t="shared" si="140"/>
        <v>0.1302608580717</v>
      </c>
      <c r="AR182" s="2">
        <f t="shared" si="141"/>
        <v>0.560637202378701</v>
      </c>
      <c r="AS182" s="2">
        <f t="shared" si="142"/>
        <v>0.853780421306644</v>
      </c>
      <c r="AT182" s="2">
        <f t="shared" si="143"/>
        <v>0.0945343224606121</v>
      </c>
      <c r="AU182" s="2">
        <f t="shared" si="144"/>
        <v>0.335790333939151</v>
      </c>
      <c r="AV182" s="2">
        <f t="shared" si="145"/>
        <v>0.0639396986169431</v>
      </c>
      <c r="AW182" s="2">
        <f t="shared" si="146"/>
        <v>0.588924005678545</v>
      </c>
      <c r="AX182" s="2">
        <f t="shared" si="147"/>
        <v>-0.00397980972870001</v>
      </c>
      <c r="AY182" s="7">
        <f t="shared" si="148"/>
        <v>1.06878896327555</v>
      </c>
      <c r="AZ182" s="2">
        <f t="shared" si="149"/>
        <v>0.156864149084873</v>
      </c>
      <c r="BA182" s="2">
        <f t="shared" si="150"/>
        <v>0.590390014649519</v>
      </c>
      <c r="BB182" s="2">
        <f t="shared" si="151"/>
        <v>0.127192701966833</v>
      </c>
      <c r="BC182" s="2">
        <f t="shared" si="152"/>
        <v>0.775344838090921</v>
      </c>
      <c r="BD182" s="2">
        <f t="shared" si="153"/>
        <v>0.0997425507865932</v>
      </c>
      <c r="BE182" s="2">
        <f t="shared" si="154"/>
        <v>-0.0213622289779321</v>
      </c>
      <c r="BF182" s="2">
        <f t="shared" si="155"/>
        <v>0.361088003224159</v>
      </c>
    </row>
    <row r="183" s="2" customFormat="1" spans="1:58">
      <c r="A183" s="5">
        <v>209.5</v>
      </c>
      <c r="B183" s="6">
        <v>0.025796740291</v>
      </c>
      <c r="C183" s="6">
        <v>0.049374114173</v>
      </c>
      <c r="D183" s="6">
        <v>0.0361029031235</v>
      </c>
      <c r="E183" s="6">
        <v>0.160398884148</v>
      </c>
      <c r="F183" s="6">
        <v>0.26590368272</v>
      </c>
      <c r="G183" s="2">
        <f t="shared" si="104"/>
        <v>5.38548766238743</v>
      </c>
      <c r="H183" s="2">
        <f t="shared" si="105"/>
        <v>0.216529568547</v>
      </c>
      <c r="I183" s="2">
        <f t="shared" si="106"/>
        <v>0.686789779302113</v>
      </c>
      <c r="J183" s="2">
        <f t="shared" si="107"/>
        <v>-0.214876021187637</v>
      </c>
      <c r="K183" s="2">
        <f t="shared" si="108"/>
        <v>4.38548766238743</v>
      </c>
      <c r="L183" s="2">
        <f t="shared" si="109"/>
        <v>1.7354849765363</v>
      </c>
      <c r="M183" s="2">
        <f t="shared" si="110"/>
        <v>0.398384886793534</v>
      </c>
      <c r="N183" s="2">
        <f t="shared" si="111"/>
        <v>0.374049993047364</v>
      </c>
      <c r="O183" s="2">
        <f t="shared" si="112"/>
        <v>0.528478925707247</v>
      </c>
      <c r="P183" s="2">
        <f t="shared" si="113"/>
        <v>0.38562973769508</v>
      </c>
      <c r="Q183" s="2">
        <f t="shared" si="114"/>
        <v>0.760913140204111</v>
      </c>
      <c r="R183" s="2">
        <f t="shared" si="115"/>
        <v>7.365160685566</v>
      </c>
      <c r="S183" s="2">
        <f t="shared" si="116"/>
        <v>0.57698074551309</v>
      </c>
      <c r="T183" s="2">
        <f t="shared" si="117"/>
        <v>-0.0616729634448859</v>
      </c>
      <c r="U183" s="2">
        <f t="shared" si="118"/>
        <v>0.429798427443354</v>
      </c>
      <c r="V183" s="2">
        <f t="shared" si="119"/>
        <v>0.409523419502382</v>
      </c>
      <c r="W183" s="2">
        <f t="shared" si="120"/>
        <v>0.2298007795965</v>
      </c>
      <c r="X183" s="2">
        <f t="shared" si="121"/>
        <v>0.418160773894594</v>
      </c>
      <c r="Y183" s="2">
        <f t="shared" si="122"/>
        <v>1.12290388734037</v>
      </c>
      <c r="Z183" s="2">
        <f t="shared" si="123"/>
        <v>1.7138829535494</v>
      </c>
      <c r="AA183" s="2">
        <f t="shared" si="124"/>
        <v>3.1938132941112</v>
      </c>
      <c r="AB183" s="2">
        <f t="shared" si="125"/>
        <v>0.15100329292175</v>
      </c>
      <c r="AC183" s="2">
        <f t="shared" si="126"/>
        <v>1.65776516546493</v>
      </c>
      <c r="AD183" s="2">
        <f t="shared" si="127"/>
        <v>0.105504798572</v>
      </c>
      <c r="AE183" s="2">
        <f t="shared" si="128"/>
        <v>0.247488067799199</v>
      </c>
      <c r="AF183" s="2">
        <f t="shared" si="129"/>
        <v>0.161589537848612</v>
      </c>
      <c r="AG183" s="7">
        <f t="shared" si="130"/>
        <v>0.170848277354015</v>
      </c>
      <c r="AH183" s="2">
        <f t="shared" si="131"/>
        <v>50.5470409446943</v>
      </c>
      <c r="AI183" s="2">
        <f t="shared" si="132"/>
        <v>0.657765165464934</v>
      </c>
      <c r="AJ183" s="2">
        <f t="shared" si="133"/>
        <v>0.403471225574435</v>
      </c>
      <c r="AK183" s="2">
        <f t="shared" si="134"/>
        <v>0.197326556479028</v>
      </c>
      <c r="AL183" s="2">
        <f t="shared" si="135"/>
        <v>0.208741310817208</v>
      </c>
      <c r="AM183" s="2">
        <f t="shared" si="136"/>
        <v>7.365160685566</v>
      </c>
      <c r="AN183" s="2">
        <f t="shared" si="137"/>
        <v>0.1242959810245</v>
      </c>
      <c r="AO183" s="2">
        <f t="shared" si="138"/>
        <v>0.632543768432825</v>
      </c>
      <c r="AP183" s="2">
        <f t="shared" si="139"/>
        <v>4.44282509911491</v>
      </c>
      <c r="AQ183" s="2">
        <f t="shared" si="140"/>
        <v>0.111024769975</v>
      </c>
      <c r="AR183" s="2">
        <f t="shared" si="141"/>
        <v>0.529261491534325</v>
      </c>
      <c r="AS183" s="2">
        <f t="shared" si="142"/>
        <v>0.848819066412163</v>
      </c>
      <c r="AT183" s="2">
        <f t="shared" si="143"/>
        <v>0.10379763427744</v>
      </c>
      <c r="AU183" s="2">
        <f t="shared" si="144"/>
        <v>0.337201486936407</v>
      </c>
      <c r="AV183" s="2">
        <f t="shared" si="145"/>
        <v>0.0780762890286822</v>
      </c>
      <c r="AW183" s="2">
        <f t="shared" si="146"/>
        <v>0.575044414428938</v>
      </c>
      <c r="AX183" s="2">
        <f t="shared" si="147"/>
        <v>-0.00551997140300001</v>
      </c>
      <c r="AY183" s="7">
        <f t="shared" si="148"/>
        <v>1.06129052553217</v>
      </c>
      <c r="AZ183" s="2">
        <f t="shared" si="149"/>
        <v>0.141960847920711</v>
      </c>
      <c r="BA183" s="2">
        <f t="shared" si="150"/>
        <v>0.623569902446221</v>
      </c>
      <c r="BB183" s="2">
        <f t="shared" si="151"/>
        <v>0.103111144655982</v>
      </c>
      <c r="BC183" s="2">
        <f t="shared" si="152"/>
        <v>0.665174091585214</v>
      </c>
      <c r="BD183" s="2">
        <f t="shared" si="153"/>
        <v>0.0879409592689424</v>
      </c>
      <c r="BE183" s="2">
        <f t="shared" si="154"/>
        <v>-0.02127173121732</v>
      </c>
      <c r="BF183" s="2">
        <f t="shared" si="155"/>
        <v>0.360354908092379</v>
      </c>
    </row>
    <row r="184" s="2" customFormat="1" spans="1:58">
      <c r="A184" s="5">
        <v>204.5</v>
      </c>
      <c r="B184" s="6">
        <v>0.0257661584221</v>
      </c>
      <c r="C184" s="6">
        <v>0.0493569165166</v>
      </c>
      <c r="D184" s="6">
        <v>0.0358075354913</v>
      </c>
      <c r="E184" s="6">
        <v>0.159222990985</v>
      </c>
      <c r="F184" s="6">
        <v>0.261363266298</v>
      </c>
      <c r="G184" s="2">
        <f t="shared" si="104"/>
        <v>5.29537265988034</v>
      </c>
      <c r="H184" s="2">
        <f t="shared" si="105"/>
        <v>0.2120063497814</v>
      </c>
      <c r="I184" s="2">
        <f t="shared" si="106"/>
        <v>0.682306337042482</v>
      </c>
      <c r="J184" s="2">
        <f t="shared" si="107"/>
        <v>-0.222908959586165</v>
      </c>
      <c r="K184" s="2">
        <f t="shared" si="108"/>
        <v>4.29537265988034</v>
      </c>
      <c r="L184" s="2">
        <f t="shared" si="109"/>
        <v>1.71194625669014</v>
      </c>
      <c r="M184" s="2">
        <f t="shared" si="110"/>
        <v>0.392255591279419</v>
      </c>
      <c r="N184" s="2">
        <f t="shared" si="111"/>
        <v>0.366823884606946</v>
      </c>
      <c r="O184" s="2">
        <f t="shared" si="112"/>
        <v>0.522449163483789</v>
      </c>
      <c r="P184" s="2">
        <f t="shared" si="113"/>
        <v>0.380333111823168</v>
      </c>
      <c r="Q184" s="2">
        <f t="shared" si="114"/>
        <v>0.759010405627345</v>
      </c>
      <c r="R184" s="2">
        <f t="shared" si="115"/>
        <v>7.2991135165251</v>
      </c>
      <c r="S184" s="2">
        <f t="shared" si="116"/>
        <v>0.572312682069224</v>
      </c>
      <c r="T184" s="2">
        <f t="shared" si="117"/>
        <v>-0.0661585372233396</v>
      </c>
      <c r="U184" s="2">
        <f t="shared" si="118"/>
        <v>0.424417948387772</v>
      </c>
      <c r="V184" s="2">
        <f t="shared" si="119"/>
        <v>0.402807048035704</v>
      </c>
      <c r="W184" s="2">
        <f t="shared" si="120"/>
        <v>0.2255557308067</v>
      </c>
      <c r="X184" s="2">
        <f t="shared" si="121"/>
        <v>0.413762186202613</v>
      </c>
      <c r="Y184" s="2">
        <f t="shared" si="122"/>
        <v>1.12205632907949</v>
      </c>
      <c r="Z184" s="2">
        <f t="shared" si="123"/>
        <v>1.70168716111342</v>
      </c>
      <c r="AA184" s="2">
        <f t="shared" si="124"/>
        <v>3.18860965390312</v>
      </c>
      <c r="AB184" s="2">
        <f t="shared" si="125"/>
        <v>0.14858540089465</v>
      </c>
      <c r="AC184" s="2">
        <f t="shared" si="126"/>
        <v>1.64149200238691</v>
      </c>
      <c r="AD184" s="2">
        <f t="shared" si="127"/>
        <v>0.102140275313</v>
      </c>
      <c r="AE184" s="2">
        <f t="shared" si="128"/>
        <v>0.242852146365479</v>
      </c>
      <c r="AF184" s="2">
        <f t="shared" si="129"/>
        <v>0.157495984361897</v>
      </c>
      <c r="AG184" s="7">
        <f t="shared" si="130"/>
        <v>0.166427004267565</v>
      </c>
      <c r="AH184" s="2">
        <f t="shared" si="131"/>
        <v>49.5605585810514</v>
      </c>
      <c r="AI184" s="2">
        <f t="shared" si="132"/>
        <v>0.641492002386906</v>
      </c>
      <c r="AJ184" s="2">
        <f t="shared" si="133"/>
        <v>0.394699518185605</v>
      </c>
      <c r="AK184" s="2">
        <f t="shared" si="134"/>
        <v>0.19219270528425</v>
      </c>
      <c r="AL184" s="2">
        <f t="shared" si="135"/>
        <v>0.204074274712512</v>
      </c>
      <c r="AM184" s="2">
        <f t="shared" si="136"/>
        <v>7.2991135165251</v>
      </c>
      <c r="AN184" s="2">
        <f t="shared" si="137"/>
        <v>0.1234154554937</v>
      </c>
      <c r="AO184" s="2">
        <f t="shared" si="138"/>
        <v>0.632800709322278</v>
      </c>
      <c r="AP184" s="2">
        <f t="shared" si="139"/>
        <v>4.4466336149743</v>
      </c>
      <c r="AQ184" s="2">
        <f t="shared" si="140"/>
        <v>0.1098660744684</v>
      </c>
      <c r="AR184" s="2">
        <f t="shared" si="141"/>
        <v>0.526733738567591</v>
      </c>
      <c r="AS184" s="2">
        <f t="shared" si="142"/>
        <v>0.827613323666856</v>
      </c>
      <c r="AT184" s="2">
        <f t="shared" si="143"/>
        <v>0.105027414522351</v>
      </c>
      <c r="AU184" s="2">
        <f t="shared" si="144"/>
        <v>0.33881328607807</v>
      </c>
      <c r="AV184" s="2">
        <f t="shared" si="145"/>
        <v>0.0784575427146702</v>
      </c>
      <c r="AW184" s="2">
        <f t="shared" si="146"/>
        <v>0.572670510501995</v>
      </c>
      <c r="AX184" s="2">
        <f t="shared" si="147"/>
        <v>-0.00772579915540002</v>
      </c>
      <c r="AY184" s="7">
        <f t="shared" si="148"/>
        <v>1.06391026042036</v>
      </c>
      <c r="AZ184" s="2">
        <f t="shared" si="149"/>
        <v>0.13828720422551</v>
      </c>
      <c r="BA184" s="2">
        <f t="shared" si="150"/>
        <v>0.624017757390488</v>
      </c>
      <c r="BB184" s="2">
        <f t="shared" si="151"/>
        <v>0.0980610995236044</v>
      </c>
      <c r="BC184" s="2">
        <f t="shared" si="152"/>
        <v>0.652670579483113</v>
      </c>
      <c r="BD184" s="2">
        <f t="shared" si="153"/>
        <v>0.0842720690119608</v>
      </c>
      <c r="BE184" s="2">
        <f t="shared" si="154"/>
        <v>-0.0243090797199841</v>
      </c>
      <c r="BF184" s="2">
        <f t="shared" si="155"/>
        <v>0.355928317210336</v>
      </c>
    </row>
    <row r="185" s="2" customFormat="1" spans="1:58">
      <c r="A185" s="5">
        <v>179</v>
      </c>
      <c r="B185" s="6">
        <v>0.0272450252043</v>
      </c>
      <c r="C185" s="6">
        <v>0.0502500340001</v>
      </c>
      <c r="D185" s="6">
        <v>0.0400916173067</v>
      </c>
      <c r="E185" s="6">
        <v>0.154758512083</v>
      </c>
      <c r="F185" s="6">
        <v>0.241832743736</v>
      </c>
      <c r="G185" s="2">
        <f t="shared" si="104"/>
        <v>4.81258865885581</v>
      </c>
      <c r="H185" s="2">
        <f t="shared" si="105"/>
        <v>0.1915827097359</v>
      </c>
      <c r="I185" s="2">
        <f t="shared" si="106"/>
        <v>0.655919226805618</v>
      </c>
      <c r="J185" s="2">
        <f t="shared" si="107"/>
        <v>-0.267820292602484</v>
      </c>
      <c r="K185" s="2">
        <f t="shared" si="108"/>
        <v>3.81258865885581</v>
      </c>
      <c r="L185" s="2">
        <f t="shared" si="109"/>
        <v>1.58137604801786</v>
      </c>
      <c r="M185" s="2">
        <f t="shared" si="110"/>
        <v>0.362808121425404</v>
      </c>
      <c r="N185" s="2">
        <f t="shared" si="111"/>
        <v>0.332992432358707</v>
      </c>
      <c r="O185" s="2">
        <f t="shared" si="112"/>
        <v>0.491582414190909</v>
      </c>
      <c r="P185" s="2">
        <f t="shared" si="113"/>
        <v>0.354489467882047</v>
      </c>
      <c r="Q185" s="2">
        <f t="shared" si="114"/>
        <v>0.715586002157311</v>
      </c>
      <c r="R185" s="2">
        <f t="shared" si="115"/>
        <v>6.03200269737149</v>
      </c>
      <c r="S185" s="2">
        <f t="shared" si="116"/>
        <v>0.529546970675772</v>
      </c>
      <c r="T185" s="2">
        <f t="shared" si="117"/>
        <v>-0.160200264793174</v>
      </c>
      <c r="U185" s="2">
        <f t="shared" si="118"/>
        <v>0.387008903572739</v>
      </c>
      <c r="V185" s="2">
        <f t="shared" si="119"/>
        <v>0.358644060682492</v>
      </c>
      <c r="W185" s="2">
        <f t="shared" si="120"/>
        <v>0.2017411264293</v>
      </c>
      <c r="X185" s="2">
        <f t="shared" si="121"/>
        <v>0.379951478655177</v>
      </c>
      <c r="Y185" s="2">
        <f t="shared" si="122"/>
        <v>1.10253616818557</v>
      </c>
      <c r="Z185" s="2">
        <f t="shared" si="123"/>
        <v>1.45601357841757</v>
      </c>
      <c r="AA185" s="2">
        <f t="shared" si="124"/>
        <v>3.13166029762288</v>
      </c>
      <c r="AB185" s="2">
        <f t="shared" si="125"/>
        <v>0.14096218052135</v>
      </c>
      <c r="AC185" s="2">
        <f t="shared" si="126"/>
        <v>1.56264583111461</v>
      </c>
      <c r="AD185" s="2">
        <f t="shared" si="127"/>
        <v>0.087074231653</v>
      </c>
      <c r="AE185" s="2">
        <f t="shared" si="128"/>
        <v>0.219556609923694</v>
      </c>
      <c r="AF185" s="2">
        <f t="shared" si="129"/>
        <v>0.138266854717402</v>
      </c>
      <c r="AG185" s="7">
        <f t="shared" si="130"/>
        <v>0.145675464300833</v>
      </c>
      <c r="AH185" s="2">
        <f t="shared" si="131"/>
        <v>44.6380430186618</v>
      </c>
      <c r="AI185" s="2">
        <f t="shared" si="132"/>
        <v>0.56264583111461</v>
      </c>
      <c r="AJ185" s="2">
        <f t="shared" si="133"/>
        <v>0.351472063281313</v>
      </c>
      <c r="AK185" s="2">
        <f t="shared" si="134"/>
        <v>0.167038340262643</v>
      </c>
      <c r="AL185" s="2">
        <f t="shared" si="135"/>
        <v>0.181472683340765</v>
      </c>
      <c r="AM185" s="2">
        <f t="shared" si="136"/>
        <v>6.03200269737149</v>
      </c>
      <c r="AN185" s="2">
        <f t="shared" si="137"/>
        <v>0.1146668947763</v>
      </c>
      <c r="AO185" s="2">
        <f t="shared" si="138"/>
        <v>0.588487650151704</v>
      </c>
      <c r="AP185" s="2">
        <f t="shared" si="139"/>
        <v>3.86012145379671</v>
      </c>
      <c r="AQ185" s="2">
        <f t="shared" si="140"/>
        <v>0.1045084780829</v>
      </c>
      <c r="AR185" s="2">
        <f t="shared" si="141"/>
        <v>0.509776202405424</v>
      </c>
      <c r="AS185" s="2">
        <f t="shared" si="142"/>
        <v>0.759366788669653</v>
      </c>
      <c r="AT185" s="2">
        <f t="shared" si="143"/>
        <v>0.11245611170007</v>
      </c>
      <c r="AU185" s="2">
        <f t="shared" si="144"/>
        <v>0.346338880513152</v>
      </c>
      <c r="AV185" s="2">
        <f t="shared" si="145"/>
        <v>0.0918094566423711</v>
      </c>
      <c r="AW185" s="2">
        <f t="shared" si="146"/>
        <v>0.553794890110994</v>
      </c>
      <c r="AX185" s="2">
        <f t="shared" si="147"/>
        <v>-0.0174342464299</v>
      </c>
      <c r="AY185" s="7">
        <f t="shared" si="148"/>
        <v>1.05302366120306</v>
      </c>
      <c r="AZ185" s="2">
        <f t="shared" si="149"/>
        <v>0.121374151112396</v>
      </c>
      <c r="BA185" s="2">
        <f t="shared" si="150"/>
        <v>0.633501797317894</v>
      </c>
      <c r="BB185" s="2">
        <f t="shared" si="151"/>
        <v>0.0761910005535793</v>
      </c>
      <c r="BC185" s="2">
        <f t="shared" si="152"/>
        <v>0.598715143251405</v>
      </c>
      <c r="BD185" s="2">
        <f t="shared" si="153"/>
        <v>0.0720727368515333</v>
      </c>
      <c r="BE185" s="2">
        <f t="shared" si="154"/>
        <v>-0.037646332229004</v>
      </c>
      <c r="BF185" s="2">
        <f t="shared" si="155"/>
        <v>0.334731169557192</v>
      </c>
    </row>
    <row r="186" s="2" customFormat="1" spans="1:58">
      <c r="A186" s="5">
        <v>175</v>
      </c>
      <c r="B186" s="6">
        <v>0.0281143380452</v>
      </c>
      <c r="C186" s="6">
        <v>0.0524087208195</v>
      </c>
      <c r="D186" s="6">
        <v>0.0426344287661</v>
      </c>
      <c r="E186" s="6">
        <v>0.151616105744</v>
      </c>
      <c r="F186" s="6">
        <v>0.22689231239</v>
      </c>
      <c r="G186" s="2">
        <f t="shared" si="104"/>
        <v>4.32928544795886</v>
      </c>
      <c r="H186" s="2">
        <f t="shared" si="105"/>
        <v>0.1744835915705</v>
      </c>
      <c r="I186" s="2">
        <f t="shared" si="106"/>
        <v>0.624715166877389</v>
      </c>
      <c r="J186" s="2">
        <f t="shared" si="107"/>
        <v>-0.316210094809935</v>
      </c>
      <c r="K186" s="2">
        <f t="shared" si="108"/>
        <v>3.32928544795886</v>
      </c>
      <c r="L186" s="2">
        <f t="shared" si="109"/>
        <v>1.44217027919871</v>
      </c>
      <c r="M186" s="2">
        <f t="shared" si="110"/>
        <v>0.335846324080761</v>
      </c>
      <c r="N186" s="2">
        <f t="shared" si="111"/>
        <v>0.303329742430518</v>
      </c>
      <c r="O186" s="2">
        <f t="shared" si="112"/>
        <v>0.460734100129594</v>
      </c>
      <c r="P186" s="2">
        <f t="shared" si="113"/>
        <v>0.330155336206052</v>
      </c>
      <c r="Q186" s="2">
        <f t="shared" si="114"/>
        <v>0.683634888447616</v>
      </c>
      <c r="R186" s="2">
        <f t="shared" si="115"/>
        <v>5.32180960215912</v>
      </c>
      <c r="S186" s="2">
        <f t="shared" si="116"/>
        <v>0.497615455625489</v>
      </c>
      <c r="T186" s="2">
        <f t="shared" si="117"/>
        <v>-0.220541355399998</v>
      </c>
      <c r="U186" s="2">
        <f t="shared" si="118"/>
        <v>0.359164679606351</v>
      </c>
      <c r="V186" s="2">
        <f t="shared" si="119"/>
        <v>0.327071519329057</v>
      </c>
      <c r="W186" s="2">
        <f t="shared" si="120"/>
        <v>0.1842578836239</v>
      </c>
      <c r="X186" s="2">
        <f t="shared" si="121"/>
        <v>0.354915648734765</v>
      </c>
      <c r="Y186" s="2">
        <f t="shared" si="122"/>
        <v>1.08794985566781</v>
      </c>
      <c r="Z186" s="2">
        <f t="shared" si="123"/>
        <v>1.30690476659942</v>
      </c>
      <c r="AA186" s="2">
        <f t="shared" si="124"/>
        <v>3.09488352220979</v>
      </c>
      <c r="AB186" s="2">
        <f t="shared" si="125"/>
        <v>0.13476337057805</v>
      </c>
      <c r="AC186" s="2">
        <f t="shared" si="126"/>
        <v>1.49649215218007</v>
      </c>
      <c r="AD186" s="2">
        <f t="shared" si="127"/>
        <v>0.075276206646</v>
      </c>
      <c r="AE186" s="2">
        <f t="shared" si="128"/>
        <v>0.198875911444988</v>
      </c>
      <c r="AF186" s="2">
        <f t="shared" si="129"/>
        <v>0.122354502192786</v>
      </c>
      <c r="AG186" s="7">
        <f t="shared" si="130"/>
        <v>0.128529570847865</v>
      </c>
      <c r="AH186" s="2">
        <f t="shared" si="131"/>
        <v>40.3123804180643</v>
      </c>
      <c r="AI186" s="2">
        <f t="shared" si="132"/>
        <v>0.496492152180072</v>
      </c>
      <c r="AJ186" s="2">
        <f t="shared" si="133"/>
        <v>0.314229739665258</v>
      </c>
      <c r="AK186" s="2">
        <f t="shared" si="134"/>
        <v>0.146732145785295</v>
      </c>
      <c r="AL186" s="2">
        <f t="shared" si="135"/>
        <v>0.162152339255784</v>
      </c>
      <c r="AM186" s="2">
        <f t="shared" si="136"/>
        <v>5.32180960215912</v>
      </c>
      <c r="AN186" s="2">
        <f t="shared" si="137"/>
        <v>0.1089816769779</v>
      </c>
      <c r="AO186" s="2">
        <f t="shared" si="138"/>
        <v>0.561036690337825</v>
      </c>
      <c r="AP186" s="2">
        <f t="shared" si="139"/>
        <v>3.55618944904346</v>
      </c>
      <c r="AQ186" s="2">
        <f t="shared" si="140"/>
        <v>0.0992073849245</v>
      </c>
      <c r="AR186" s="2">
        <f t="shared" si="141"/>
        <v>0.486251534166226</v>
      </c>
      <c r="AS186" s="2">
        <f t="shared" si="142"/>
        <v>0.690723511818092</v>
      </c>
      <c r="AT186" s="2">
        <f t="shared" si="143"/>
        <v>0.121621342206942</v>
      </c>
      <c r="AU186" s="2">
        <f t="shared" si="144"/>
        <v>0.351845150815319</v>
      </c>
      <c r="AV186" s="2">
        <f t="shared" si="145"/>
        <v>0.101235077551284</v>
      </c>
      <c r="AW186" s="2">
        <f t="shared" si="146"/>
        <v>0.538753807787745</v>
      </c>
      <c r="AX186" s="2">
        <f t="shared" si="147"/>
        <v>-0.0239311782785</v>
      </c>
      <c r="AY186" s="7">
        <f t="shared" si="148"/>
        <v>1.05601840244933</v>
      </c>
      <c r="AZ186" s="2">
        <f t="shared" si="149"/>
        <v>0.107936894582225</v>
      </c>
      <c r="BA186" s="2">
        <f t="shared" si="150"/>
        <v>0.658018216717825</v>
      </c>
      <c r="BB186" s="2">
        <f t="shared" si="151"/>
        <v>0.0604275873977351</v>
      </c>
      <c r="BC186" s="2">
        <f t="shared" si="152"/>
        <v>0.557430915143539</v>
      </c>
      <c r="BD186" s="2">
        <f t="shared" si="153"/>
        <v>0.0603843338457147</v>
      </c>
      <c r="BE186" s="2">
        <f t="shared" si="154"/>
        <v>-0.04636578291198</v>
      </c>
      <c r="BF186" s="2">
        <f t="shared" si="155"/>
        <v>0.318346539334175</v>
      </c>
    </row>
    <row r="187" s="2" customFormat="1" spans="1:58">
      <c r="A187" s="5">
        <v>173.5</v>
      </c>
      <c r="B187" s="6">
        <v>0.0283406597085</v>
      </c>
      <c r="C187" s="6">
        <v>0.0541020465726</v>
      </c>
      <c r="D187" s="6">
        <v>0.0442937375468</v>
      </c>
      <c r="E187" s="6">
        <v>0.157399352132</v>
      </c>
      <c r="F187" s="6">
        <v>0.237221729074</v>
      </c>
      <c r="G187" s="2">
        <f t="shared" si="104"/>
        <v>4.3847089731748</v>
      </c>
      <c r="H187" s="2">
        <f t="shared" si="105"/>
        <v>0.1831196825014</v>
      </c>
      <c r="I187" s="2">
        <f t="shared" si="106"/>
        <v>0.628577884159854</v>
      </c>
      <c r="J187" s="2">
        <f t="shared" si="107"/>
        <v>-0.310474227479015</v>
      </c>
      <c r="K187" s="2">
        <f t="shared" si="108"/>
        <v>3.3847089731748</v>
      </c>
      <c r="L187" s="2">
        <f t="shared" si="109"/>
        <v>1.45861345285689</v>
      </c>
      <c r="M187" s="2">
        <f t="shared" si="110"/>
        <v>0.347113952854072</v>
      </c>
      <c r="N187" s="2">
        <f t="shared" si="111"/>
        <v>0.316203305705072</v>
      </c>
      <c r="O187" s="2">
        <f t="shared" si="112"/>
        <v>0.470657304497856</v>
      </c>
      <c r="P187" s="2">
        <f t="shared" si="113"/>
        <v>0.339271252207956</v>
      </c>
      <c r="Q187" s="2">
        <f t="shared" si="114"/>
        <v>0.685319331982115</v>
      </c>
      <c r="R187" s="2">
        <f t="shared" si="115"/>
        <v>5.35564940356084</v>
      </c>
      <c r="S187" s="2">
        <f t="shared" si="116"/>
        <v>0.506882515089243</v>
      </c>
      <c r="T187" s="2">
        <f t="shared" si="117"/>
        <v>-0.217524120455431</v>
      </c>
      <c r="U187" s="2">
        <f t="shared" si="118"/>
        <v>0.370295918188419</v>
      </c>
      <c r="V187" s="2">
        <f t="shared" si="119"/>
        <v>0.340182820697934</v>
      </c>
      <c r="W187" s="2">
        <f t="shared" si="120"/>
        <v>0.1929279915272</v>
      </c>
      <c r="X187" s="2">
        <f t="shared" si="121"/>
        <v>0.36361694442651</v>
      </c>
      <c r="Y187" s="2">
        <f t="shared" si="122"/>
        <v>1.08872371701094</v>
      </c>
      <c r="Z187" s="2">
        <f t="shared" si="123"/>
        <v>1.3142276040962</v>
      </c>
      <c r="AA187" s="2">
        <f t="shared" si="124"/>
        <v>3.09855739480218</v>
      </c>
      <c r="AB187" s="2">
        <f t="shared" si="125"/>
        <v>0.1407577333104</v>
      </c>
      <c r="AC187" s="2">
        <f t="shared" si="126"/>
        <v>1.50713281764374</v>
      </c>
      <c r="AD187" s="2">
        <f t="shared" si="127"/>
        <v>0.079822376942</v>
      </c>
      <c r="AE187" s="2">
        <f t="shared" si="128"/>
        <v>0.202276007906256</v>
      </c>
      <c r="AF187" s="2">
        <f t="shared" si="129"/>
        <v>0.127067508629925</v>
      </c>
      <c r="AG187" s="7">
        <f t="shared" si="130"/>
        <v>0.133837183058097</v>
      </c>
      <c r="AH187" s="2">
        <f t="shared" si="131"/>
        <v>41.0209049565539</v>
      </c>
      <c r="AI187" s="2">
        <f t="shared" si="132"/>
        <v>0.507132817643738</v>
      </c>
      <c r="AJ187" s="2">
        <f t="shared" si="133"/>
        <v>0.320282378271466</v>
      </c>
      <c r="AK187" s="2">
        <f t="shared" si="134"/>
        <v>0.153206904440058</v>
      </c>
      <c r="AL187" s="2">
        <f t="shared" si="135"/>
        <v>0.166949941843859</v>
      </c>
      <c r="AM187" s="2">
        <f t="shared" si="136"/>
        <v>5.35564940356084</v>
      </c>
      <c r="AN187" s="2">
        <f t="shared" si="137"/>
        <v>0.1131056145852</v>
      </c>
      <c r="AO187" s="2">
        <f t="shared" si="138"/>
        <v>0.560780811902494</v>
      </c>
      <c r="AP187" s="2">
        <f t="shared" si="139"/>
        <v>3.55353512368864</v>
      </c>
      <c r="AQ187" s="2">
        <f t="shared" si="140"/>
        <v>0.1032973055594</v>
      </c>
      <c r="AR187" s="2">
        <f t="shared" si="141"/>
        <v>0.488400106061111</v>
      </c>
      <c r="AS187" s="2">
        <f t="shared" si="142"/>
        <v>0.705733108252301</v>
      </c>
      <c r="AT187" s="2">
        <f t="shared" si="143"/>
        <v>0.120568883624144</v>
      </c>
      <c r="AU187" s="2">
        <f t="shared" si="144"/>
        <v>0.350771650463403</v>
      </c>
      <c r="AV187" s="2">
        <f t="shared" si="145"/>
        <v>0.100916477763642</v>
      </c>
      <c r="AW187" s="2">
        <f t="shared" si="146"/>
        <v>0.540473273944312</v>
      </c>
      <c r="AX187" s="2">
        <f t="shared" si="147"/>
        <v>-0.0234749286174</v>
      </c>
      <c r="AY187" s="7">
        <f t="shared" si="148"/>
        <v>1.05356228719829</v>
      </c>
      <c r="AZ187" s="2">
        <f t="shared" si="149"/>
        <v>0.112371913314735</v>
      </c>
      <c r="BA187" s="2">
        <f t="shared" si="150"/>
        <v>0.656478064936868</v>
      </c>
      <c r="BB187" s="2">
        <f t="shared" si="151"/>
        <v>0.0651057872607447</v>
      </c>
      <c r="BC187" s="2">
        <f t="shared" si="152"/>
        <v>0.584060937609532</v>
      </c>
      <c r="BD187" s="2">
        <f t="shared" si="153"/>
        <v>0.0650062663423583</v>
      </c>
      <c r="BE187" s="2">
        <f t="shared" si="154"/>
        <v>-0.046199573876184</v>
      </c>
      <c r="BF187" s="2">
        <f t="shared" si="155"/>
        <v>0.321799434888827</v>
      </c>
    </row>
    <row r="188" s="2" customFormat="1" spans="1:58">
      <c r="A188" s="5">
        <v>162.5</v>
      </c>
      <c r="B188" s="6">
        <v>0.0320101478641</v>
      </c>
      <c r="C188" s="6">
        <v>0.0558046080936</v>
      </c>
      <c r="D188" s="6">
        <v>0.0549037028309</v>
      </c>
      <c r="E188" s="6">
        <v>0.140464929878</v>
      </c>
      <c r="F188" s="6">
        <v>0.199655416727</v>
      </c>
      <c r="G188" s="2">
        <f t="shared" si="104"/>
        <v>3.57775860359277</v>
      </c>
      <c r="H188" s="2">
        <f t="shared" si="105"/>
        <v>0.1438508086334</v>
      </c>
      <c r="I188" s="2">
        <f t="shared" si="106"/>
        <v>0.563104966166119</v>
      </c>
      <c r="J188" s="2">
        <f t="shared" si="107"/>
        <v>-0.39925598382778</v>
      </c>
      <c r="K188" s="2">
        <f t="shared" si="108"/>
        <v>2.57775860359277</v>
      </c>
      <c r="L188" s="2">
        <f t="shared" si="109"/>
        <v>1.20480233700824</v>
      </c>
      <c r="M188" s="2">
        <f t="shared" si="110"/>
        <v>0.285622277633208</v>
      </c>
      <c r="N188" s="2">
        <f t="shared" si="111"/>
        <v>0.250415965110569</v>
      </c>
      <c r="O188" s="2">
        <f t="shared" si="112"/>
        <v>0.401643787718924</v>
      </c>
      <c r="P188" s="2">
        <f t="shared" si="113"/>
        <v>0.284610443814839</v>
      </c>
      <c r="Q188" s="2">
        <f t="shared" si="114"/>
        <v>0.568636920757325</v>
      </c>
      <c r="R188" s="2">
        <f t="shared" si="115"/>
        <v>3.63646541913441</v>
      </c>
      <c r="S188" s="2">
        <f t="shared" si="116"/>
        <v>0.405037496940227</v>
      </c>
      <c r="T188" s="2">
        <f t="shared" si="117"/>
        <v>-0.39239322325537</v>
      </c>
      <c r="U188" s="2">
        <f t="shared" si="118"/>
        <v>0.287754219936227</v>
      </c>
      <c r="V188" s="2">
        <f t="shared" si="119"/>
        <v>0.25242586228853</v>
      </c>
      <c r="W188" s="2">
        <f t="shared" si="120"/>
        <v>0.1447517138961</v>
      </c>
      <c r="X188" s="2">
        <f t="shared" si="121"/>
        <v>0.286899231201869</v>
      </c>
      <c r="Y188" s="2">
        <f t="shared" si="122"/>
        <v>1.03374896409009</v>
      </c>
      <c r="Z188" s="2">
        <f t="shared" si="123"/>
        <v>0.906951865972084</v>
      </c>
      <c r="AA188" s="2">
        <f t="shared" si="124"/>
        <v>2.9863126481689</v>
      </c>
      <c r="AB188" s="2">
        <f t="shared" si="125"/>
        <v>0.12727955977895</v>
      </c>
      <c r="AC188" s="2">
        <f t="shared" si="126"/>
        <v>1.42138978676321</v>
      </c>
      <c r="AD188" s="2">
        <f t="shared" si="127"/>
        <v>0.059190486849</v>
      </c>
      <c r="AE188" s="2">
        <f t="shared" si="128"/>
        <v>0.17402806812302</v>
      </c>
      <c r="AF188" s="2">
        <f t="shared" si="129"/>
        <v>0.101492886832489</v>
      </c>
      <c r="AG188" s="7">
        <f t="shared" si="130"/>
        <v>0.105682156886559</v>
      </c>
      <c r="AH188" s="2">
        <f t="shared" si="131"/>
        <v>35.1635116048704</v>
      </c>
      <c r="AI188" s="2">
        <f t="shared" si="132"/>
        <v>0.421389786763212</v>
      </c>
      <c r="AJ188" s="2">
        <f t="shared" si="133"/>
        <v>0.270801865793375</v>
      </c>
      <c r="AK188" s="2">
        <f t="shared" si="134"/>
        <v>0.117665704346029</v>
      </c>
      <c r="AL188" s="2">
        <f t="shared" si="135"/>
        <v>0.137288884987255</v>
      </c>
      <c r="AM188" s="2">
        <f t="shared" si="136"/>
        <v>3.63646541913441</v>
      </c>
      <c r="AN188" s="2">
        <f t="shared" si="137"/>
        <v>0.0855612270471</v>
      </c>
      <c r="AO188" s="2">
        <f t="shared" si="138"/>
        <v>0.437947616568452</v>
      </c>
      <c r="AP188" s="2">
        <f t="shared" si="139"/>
        <v>2.55838718766607</v>
      </c>
      <c r="AQ188" s="2">
        <f t="shared" si="140"/>
        <v>0.0846603217844</v>
      </c>
      <c r="AR188" s="2">
        <f t="shared" si="141"/>
        <v>0.431347231258323</v>
      </c>
      <c r="AS188" s="2">
        <f t="shared" si="142"/>
        <v>0.691791000337298</v>
      </c>
      <c r="AT188" s="2">
        <f t="shared" si="143"/>
        <v>0.140947438223695</v>
      </c>
      <c r="AU188" s="2">
        <f t="shared" si="144"/>
        <v>0.354776652017122</v>
      </c>
      <c r="AV188" s="2">
        <f t="shared" si="145"/>
        <v>0.138988253776709</v>
      </c>
      <c r="AW188" s="2">
        <f t="shared" si="146"/>
        <v>0.505425978524879</v>
      </c>
      <c r="AX188" s="2">
        <f t="shared" si="147"/>
        <v>-0.0254698349354</v>
      </c>
      <c r="AY188" s="7">
        <f t="shared" si="148"/>
        <v>1.00626277510192</v>
      </c>
      <c r="AZ188" s="2">
        <f t="shared" si="149"/>
        <v>0.0911233858139478</v>
      </c>
      <c r="BA188" s="2">
        <f t="shared" si="150"/>
        <v>0.747445880311901</v>
      </c>
      <c r="BB188" s="2">
        <f t="shared" si="151"/>
        <v>0.043239139438882</v>
      </c>
      <c r="BC188" s="2">
        <f t="shared" si="152"/>
        <v>0.48533707938727</v>
      </c>
      <c r="BD188" s="2">
        <f t="shared" si="153"/>
        <v>0.0541222958979677</v>
      </c>
      <c r="BE188" s="2">
        <f t="shared" si="154"/>
        <v>-0.046835800921104</v>
      </c>
      <c r="BF188" s="2">
        <f t="shared" si="155"/>
        <v>0.309050849449764</v>
      </c>
    </row>
    <row r="189" s="2" customFormat="1" spans="1:58">
      <c r="A189" s="5">
        <v>163.5</v>
      </c>
      <c r="B189" s="6">
        <v>0.0312648509015</v>
      </c>
      <c r="C189" s="6">
        <v>0.0541747370926</v>
      </c>
      <c r="D189" s="6">
        <v>0.0540092034517</v>
      </c>
      <c r="E189" s="6">
        <v>0.137036437069</v>
      </c>
      <c r="F189" s="6">
        <v>0.193892618973</v>
      </c>
      <c r="G189" s="2">
        <f t="shared" si="104"/>
        <v>3.57902279510065</v>
      </c>
      <c r="H189" s="2">
        <f t="shared" si="105"/>
        <v>0.1397178818804</v>
      </c>
      <c r="I189" s="2">
        <f t="shared" si="106"/>
        <v>0.563225585568189</v>
      </c>
      <c r="J189" s="2">
        <f t="shared" si="107"/>
        <v>-0.399107488642358</v>
      </c>
      <c r="K189" s="2">
        <f t="shared" si="108"/>
        <v>2.57902279510065</v>
      </c>
      <c r="L189" s="2">
        <f t="shared" si="109"/>
        <v>1.20522679358047</v>
      </c>
      <c r="M189" s="2">
        <f t="shared" si="110"/>
        <v>0.280157690509117</v>
      </c>
      <c r="N189" s="2">
        <f t="shared" si="111"/>
        <v>0.244391559013839</v>
      </c>
      <c r="O189" s="2">
        <f t="shared" si="112"/>
        <v>0.397171546736538</v>
      </c>
      <c r="P189" s="2">
        <f t="shared" si="113"/>
        <v>0.280522166390529</v>
      </c>
      <c r="Q189" s="2">
        <f t="shared" si="114"/>
        <v>0.564269411790184</v>
      </c>
      <c r="R189" s="2">
        <f t="shared" si="115"/>
        <v>3.58999219728165</v>
      </c>
      <c r="S189" s="2">
        <f t="shared" si="116"/>
        <v>0.397803473983406</v>
      </c>
      <c r="T189" s="2">
        <f t="shared" si="117"/>
        <v>-0.397820316477347</v>
      </c>
      <c r="U189" s="2">
        <f t="shared" si="118"/>
        <v>0.280551694073557</v>
      </c>
      <c r="V189" s="2">
        <f t="shared" si="119"/>
        <v>0.244759970835939</v>
      </c>
      <c r="W189" s="2">
        <f t="shared" si="120"/>
        <v>0.1398834155213</v>
      </c>
      <c r="X189" s="2">
        <f t="shared" si="121"/>
        <v>0.280948273878673</v>
      </c>
      <c r="Y189" s="2">
        <f t="shared" si="122"/>
        <v>1.03163434015652</v>
      </c>
      <c r="Z189" s="2">
        <f t="shared" si="123"/>
        <v>0.894727473089903</v>
      </c>
      <c r="AA189" s="2">
        <f t="shared" si="124"/>
        <v>2.9850879584144</v>
      </c>
      <c r="AB189" s="2">
        <f t="shared" si="125"/>
        <v>0.12395091121235</v>
      </c>
      <c r="AC189" s="2">
        <f t="shared" si="126"/>
        <v>1.41489827902758</v>
      </c>
      <c r="AD189" s="2">
        <f t="shared" si="127"/>
        <v>0.056856181904</v>
      </c>
      <c r="AE189" s="2">
        <f t="shared" si="128"/>
        <v>0.17180776624457</v>
      </c>
      <c r="AF189" s="2">
        <f t="shared" si="129"/>
        <v>0.0988348805337526</v>
      </c>
      <c r="AG189" s="7">
        <f t="shared" si="130"/>
        <v>0.102637249517111</v>
      </c>
      <c r="AH189" s="2">
        <f t="shared" si="131"/>
        <v>34.7057640898148</v>
      </c>
      <c r="AI189" s="2">
        <f t="shared" si="132"/>
        <v>0.414898279027585</v>
      </c>
      <c r="AJ189" s="2">
        <f t="shared" si="133"/>
        <v>0.266988289141014</v>
      </c>
      <c r="AK189" s="2">
        <f t="shared" si="134"/>
        <v>0.11403137457201</v>
      </c>
      <c r="AL189" s="2">
        <f t="shared" si="135"/>
        <v>0.134343588339162</v>
      </c>
      <c r="AM189" s="2">
        <f t="shared" si="136"/>
        <v>3.58999219728165</v>
      </c>
      <c r="AN189" s="2">
        <f t="shared" si="137"/>
        <v>0.0830272336173</v>
      </c>
      <c r="AO189" s="2">
        <f t="shared" si="138"/>
        <v>0.434593709602622</v>
      </c>
      <c r="AP189" s="2">
        <f t="shared" si="139"/>
        <v>2.53727935816625</v>
      </c>
      <c r="AQ189" s="2">
        <f t="shared" si="140"/>
        <v>0.0828616999764</v>
      </c>
      <c r="AR189" s="2">
        <f t="shared" si="141"/>
        <v>0.433351765866834</v>
      </c>
      <c r="AS189" s="2">
        <f t="shared" si="142"/>
        <v>0.684789549487689</v>
      </c>
      <c r="AT189" s="2">
        <f t="shared" si="143"/>
        <v>0.140675677722201</v>
      </c>
      <c r="AU189" s="2">
        <f t="shared" si="144"/>
        <v>0.355842864993811</v>
      </c>
      <c r="AV189" s="2">
        <f t="shared" si="145"/>
        <v>0.140306145517302</v>
      </c>
      <c r="AW189" s="2">
        <f t="shared" si="146"/>
        <v>0.503697967637777</v>
      </c>
      <c r="AX189" s="2">
        <f t="shared" si="147"/>
        <v>-0.0260055180724</v>
      </c>
      <c r="AY189" s="7">
        <f t="shared" si="148"/>
        <v>1.00118477061542</v>
      </c>
      <c r="AZ189" s="2">
        <f t="shared" si="149"/>
        <v>0.08829692619412</v>
      </c>
      <c r="BA189" s="2">
        <f t="shared" si="150"/>
        <v>0.742231855730089</v>
      </c>
      <c r="BB189" s="2">
        <f t="shared" si="151"/>
        <v>0.0409083958036574</v>
      </c>
      <c r="BC189" s="2">
        <f t="shared" si="152"/>
        <v>0.470701148511851</v>
      </c>
      <c r="BD189" s="2">
        <f t="shared" si="153"/>
        <v>0.0518160633806472</v>
      </c>
      <c r="BE189" s="2">
        <f t="shared" si="154"/>
        <v>-0.047391350021424</v>
      </c>
      <c r="BF189" s="2">
        <f t="shared" si="155"/>
        <v>0.305042545379482</v>
      </c>
    </row>
    <row r="190" s="2" customFormat="1" spans="1:58">
      <c r="A190" s="5">
        <v>136</v>
      </c>
      <c r="B190" s="6">
        <v>0.0299692742486</v>
      </c>
      <c r="C190" s="6">
        <v>0.0556040642998</v>
      </c>
      <c r="D190" s="6">
        <v>0.0484730661691</v>
      </c>
      <c r="E190" s="6">
        <v>0.158292028624</v>
      </c>
      <c r="F190" s="6">
        <v>0.235986002303</v>
      </c>
      <c r="G190" s="2">
        <f t="shared" si="104"/>
        <v>4.24404232450772</v>
      </c>
      <c r="H190" s="2">
        <f t="shared" si="105"/>
        <v>0.1803819380032</v>
      </c>
      <c r="I190" s="2">
        <f t="shared" si="106"/>
        <v>0.61861482493131</v>
      </c>
      <c r="J190" s="2">
        <f t="shared" si="107"/>
        <v>-0.325130704534236</v>
      </c>
      <c r="K190" s="2">
        <f t="shared" si="108"/>
        <v>3.24404232450772</v>
      </c>
      <c r="L190" s="2">
        <f t="shared" si="109"/>
        <v>1.41662015891526</v>
      </c>
      <c r="M190" s="2">
        <f t="shared" si="110"/>
        <v>0.341809376368244</v>
      </c>
      <c r="N190" s="2">
        <f t="shared" si="111"/>
        <v>0.310649054014291</v>
      </c>
      <c r="O190" s="2">
        <f t="shared" si="112"/>
        <v>0.46334732218048</v>
      </c>
      <c r="P190" s="2">
        <f t="shared" si="113"/>
        <v>0.334046315648923</v>
      </c>
      <c r="Q190" s="2">
        <f t="shared" si="114"/>
        <v>0.659191275360207</v>
      </c>
      <c r="R190" s="2">
        <f t="shared" si="115"/>
        <v>4.86839436729161</v>
      </c>
      <c r="S190" s="2">
        <f t="shared" si="116"/>
        <v>0.489392660302932</v>
      </c>
      <c r="T190" s="2">
        <f t="shared" si="117"/>
        <v>-0.262461023633876</v>
      </c>
      <c r="U190" s="2">
        <f t="shared" si="118"/>
        <v>0.358552046251032</v>
      </c>
      <c r="V190" s="2">
        <f t="shared" si="119"/>
        <v>0.327758708607256</v>
      </c>
      <c r="W190" s="2">
        <f t="shared" si="120"/>
        <v>0.1875129361339</v>
      </c>
      <c r="X190" s="2">
        <f t="shared" si="121"/>
        <v>0.351577717605429</v>
      </c>
      <c r="Y190" s="2">
        <f t="shared" si="122"/>
        <v>1.07665745497823</v>
      </c>
      <c r="Z190" s="2">
        <f t="shared" si="123"/>
        <v>1.20644382826566</v>
      </c>
      <c r="AA190" s="2">
        <f t="shared" si="124"/>
        <v>3.07087729338017</v>
      </c>
      <c r="AB190" s="2">
        <f t="shared" si="125"/>
        <v>0.14222953423605</v>
      </c>
      <c r="AC190" s="2">
        <f t="shared" si="126"/>
        <v>1.49082682403137</v>
      </c>
      <c r="AD190" s="2">
        <f t="shared" si="127"/>
        <v>0.077693973679</v>
      </c>
      <c r="AE190" s="2">
        <f t="shared" si="128"/>
        <v>0.197053773187238</v>
      </c>
      <c r="AF190" s="2">
        <f t="shared" si="129"/>
        <v>0.123733142962413</v>
      </c>
      <c r="AG190" s="7">
        <f t="shared" si="130"/>
        <v>0.130318487638229</v>
      </c>
      <c r="AH190" s="2">
        <f t="shared" si="131"/>
        <v>39.9330881506013</v>
      </c>
      <c r="AI190" s="2">
        <f t="shared" si="132"/>
        <v>0.490826824031366</v>
      </c>
      <c r="AJ190" s="2">
        <f t="shared" si="133"/>
        <v>0.310997230947302</v>
      </c>
      <c r="AK190" s="2">
        <f t="shared" si="134"/>
        <v>0.14856219425889</v>
      </c>
      <c r="AL190" s="2">
        <f t="shared" si="135"/>
        <v>0.162598920467605</v>
      </c>
      <c r="AM190" s="2">
        <f t="shared" si="136"/>
        <v>4.86839436729161</v>
      </c>
      <c r="AN190" s="2">
        <f t="shared" si="137"/>
        <v>0.1098189624549</v>
      </c>
      <c r="AO190" s="2">
        <f t="shared" si="138"/>
        <v>0.531129118117304</v>
      </c>
      <c r="AP190" s="2">
        <f t="shared" si="139"/>
        <v>3.26556665657981</v>
      </c>
      <c r="AQ190" s="2">
        <f t="shared" si="140"/>
        <v>0.1026879643242</v>
      </c>
      <c r="AR190" s="2">
        <f t="shared" si="141"/>
        <v>0.480083403677609</v>
      </c>
      <c r="AS190" s="2">
        <f t="shared" si="142"/>
        <v>0.707473208107453</v>
      </c>
      <c r="AT190" s="2">
        <f t="shared" si="143"/>
        <v>0.123596971050311</v>
      </c>
      <c r="AU190" s="2">
        <f t="shared" si="144"/>
        <v>0.351852252631214</v>
      </c>
      <c r="AV190" s="2">
        <f t="shared" si="145"/>
        <v>0.109481526950522</v>
      </c>
      <c r="AW190" s="2">
        <f t="shared" si="146"/>
        <v>0.532999249128408</v>
      </c>
      <c r="AX190" s="2">
        <f t="shared" si="147"/>
        <v>-0.0249939906452</v>
      </c>
      <c r="AY190" s="7">
        <f t="shared" si="148"/>
        <v>1.03953277256936</v>
      </c>
      <c r="AZ190" s="2">
        <f t="shared" si="149"/>
        <v>0.109817430600979</v>
      </c>
      <c r="BA190" s="2">
        <f t="shared" si="150"/>
        <v>0.667333760055193</v>
      </c>
      <c r="BB190" s="2">
        <f t="shared" si="151"/>
        <v>0.0620446136770534</v>
      </c>
      <c r="BC190" s="2">
        <f t="shared" si="152"/>
        <v>0.580025791826583</v>
      </c>
      <c r="BD190" s="2">
        <f t="shared" si="153"/>
        <v>0.0653523320122209</v>
      </c>
      <c r="BE190" s="2">
        <f t="shared" si="154"/>
        <v>-0.048313902247992</v>
      </c>
      <c r="BF190" s="2">
        <f t="shared" si="155"/>
        <v>0.31854033438193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拔节期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张振宇</dc:creator>
  <cp:lastModifiedBy>束美艳</cp:lastModifiedBy>
  <dcterms:created xsi:type="dcterms:W3CDTF">2023-05-12T11:15:00Z</dcterms:created>
  <dcterms:modified xsi:type="dcterms:W3CDTF">2025-11-17T01:51:28Z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AA06E57CE7714FC2B2D675E316DBF10A_12</vt:lpwstr>
  </property>
</Properties>
</file>